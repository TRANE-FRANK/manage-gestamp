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-105" yWindow="-108" windowWidth="29027" windowHeight="15712" activeTab="1" tabRatio="600"/>
  </bookViews>
  <sheets>
    <sheet name="FORMATO_DESKTOP" sheetId="1" r:id="rId2"/>
    <sheet name="EQUIPOS" sheetId="3" r:id="rId3"/>
    <sheet name="Control de cambios" sheetId="2" r:id="rId4"/>
    <sheet name="FORMATO_LAPTOP" sheetId="4" r:id="rId5"/>
    <sheet name="FORMATO_IMPRESORA" sheetId="5" r:id="rId6"/>
  </sheets>
  <definedNames>
    <definedName name="_xlnm.Print_Area" localSheetId="2">'Control de cambios'!$A$1:$D$7</definedName>
  </definedNames>
  <calcPr calcId="191029"/>
</workbook>
</file>

<file path=xl/sharedStrings.xml><?xml version="1.0" encoding="utf-8"?>
<sst xmlns="http://schemas.openxmlformats.org/spreadsheetml/2006/main" count="1510" uniqueCount="593">
  <si>
    <t>ORDEN DE TRABAJO DE EQUIPO DE CÓMPUTO</t>
  </si>
  <si>
    <t>Código: R-096-SI
Versión: 03
Fecha: 10.11.2023
Cód. DE Proced: M-04-SI</t>
  </si>
  <si>
    <t>Pág. 1 de 1</t>
  </si>
  <si>
    <t>FECHA DE SOLICITUD:</t>
  </si>
  <si>
    <t>SOLICITANTE (NOMBRE Y FIRMA):</t>
  </si>
  <si>
    <t>EQUIPO:</t>
  </si>
  <si>
    <t>UBICACIÓN:</t>
  </si>
  <si>
    <t>FECHA DE ENTREGA:</t>
  </si>
  <si>
    <t>TIEMPO DE MANTENIMIENTO:</t>
  </si>
  <si>
    <t>45 Min</t>
  </si>
  <si>
    <t>RESPONSABLE DEL MANTENIMIENTO (NOMBRE Y FIRMA):</t>
  </si>
  <si>
    <t xml:space="preserve">ACTIVIDAD </t>
  </si>
  <si>
    <t>DESCRIPCIÓN DE ACTIVIDADES REALIZADAS</t>
  </si>
  <si>
    <t>OK</t>
  </si>
  <si>
    <t>NOK</t>
  </si>
  <si>
    <r>
      <rPr>
        <b/>
        <sz val="12.0"/>
        <rFont val="Calibri"/>
        <family val="1"/>
      </rPr>
      <t>Inspección visual externa:</t>
    </r>
    <r>
      <rPr>
        <sz val="12.0"/>
        <rFont val="Calibri"/>
        <family val="1"/>
      </rPr>
      <t xml:space="preserve"> Revisión de carcasa, cables, conectores y periféricos en busca de daños físicos, grietas o signos de sobrecalentamiento. </t>
    </r>
    <phoneticPr fontId="0" type="noConversion"/>
  </si>
  <si>
    <r>
      <rPr>
        <b/>
        <sz val="12.0"/>
        <rFont val="Calibri"/>
        <family val="1"/>
      </rPr>
      <t>Limpieza externa de periféricos:</t>
    </r>
    <r>
      <rPr>
        <sz val="12.0"/>
        <rFont val="Calibri"/>
        <family val="1"/>
      </rPr>
      <t xml:space="preserve"> Desinfección y retiro de suciedad en teclado, mouse, monitor y carcasa del gabinete con paños de microfibra y soluciones limpiadoras no abrasivas.</t>
    </r>
    <phoneticPr fontId="0" type="noConversion"/>
  </si>
  <si>
    <r>
      <rPr>
        <b/>
        <sz val="12.0"/>
        <rFont val="Calibri"/>
        <family val="1"/>
      </rPr>
      <t>Apertura segura del gabinete:</t>
    </r>
    <r>
      <rPr>
        <sz val="12.0"/>
        <rFont val="Calibri"/>
        <family val="1"/>
      </rPr>
      <t xml:space="preserve"> Desatornillado y retirada de la tapa lateral siguiendo protocolos de descarga electrostática (uso de pulsera antiestática).</t>
    </r>
    <phoneticPr fontId="0" type="noConversion"/>
  </si>
  <si>
    <r>
      <rPr>
        <b/>
        <sz val="12.0"/>
        <rFont val="Calibri"/>
        <family val="1"/>
      </rPr>
      <t>Remoción de polvo interno:</t>
    </r>
    <r>
      <rPr>
        <sz val="12.0"/>
        <rFont val="Calibri"/>
        <family val="1"/>
      </rPr>
      <t xml:space="preserve"> Eliminación de polvo acumulado en la tarjeta madre, fuente de poder, ventiladores y disipadores mediante aire comprimido y brochas antiestáticas. </t>
    </r>
    <phoneticPr fontId="0" type="noConversion"/>
  </si>
  <si>
    <r>
      <rPr>
        <b/>
        <sz val="12.0"/>
        <rFont val="Calibri"/>
        <family val="1"/>
      </rPr>
      <t>Limpieza de ventiladores:</t>
    </r>
    <r>
      <rPr>
        <sz val="12.0"/>
        <rFont val="Calibri"/>
        <family val="1"/>
      </rPr>
      <t xml:space="preserve"> Bloqueo de aspas para evitar giros forzados y limpieza profunda de ejes y paletas; lubricación si presentan ruido o resistencia.</t>
    </r>
    <phoneticPr fontId="0" type="noConversion"/>
  </si>
  <si>
    <r>
      <rPr>
        <b/>
        <sz val="12.0"/>
        <rFont val="Calibri"/>
        <family val="1"/>
      </rPr>
      <t>Reasentamiento de componentes:</t>
    </r>
    <r>
      <rPr>
        <sz val="12.0"/>
        <rFont val="Calibri"/>
        <family val="1"/>
      </rPr>
      <t xml:space="preserve"> Extracción y reinserción de módulos de memoria RAM, tarjetas de expansión (GPU, sonido, red) y conectores de energía/datos para eliminar óxido o falsos contactos.</t>
    </r>
    <phoneticPr fontId="0" type="noConversion"/>
  </si>
  <si>
    <r>
      <rPr>
        <b/>
        <sz val="12.0"/>
        <rFont val="Calibri"/>
        <family val="1"/>
      </rPr>
      <t>Limpieza de contactos eléctricos:</t>
    </r>
    <r>
      <rPr>
        <sz val="12.0"/>
        <rFont val="Calibri"/>
        <family val="1"/>
      </rPr>
      <t xml:space="preserve"> Aplicación de alcohol isopropílico en pines de procesador, ranuras de expansión y conectores de discos duros.</t>
    </r>
    <phoneticPr fontId="0" type="noConversion"/>
  </si>
  <si>
    <r>
      <rPr>
        <b/>
        <sz val="12.0"/>
        <rFont val="Calibri"/>
        <family val="1"/>
      </rPr>
      <t>Mantenimiento térmico:</t>
    </r>
    <r>
      <rPr>
        <sz val="12.0"/>
        <rFont val="Calibri"/>
        <family val="1"/>
      </rPr>
      <t xml:space="preserve"> Retiro de pasta térmica seca del procesador (CPU) y GPU, limpieza de la superficie del disipador y aplicación de nueva pasta térmica.</t>
    </r>
    <phoneticPr fontId="0" type="noConversion"/>
  </si>
  <si>
    <r>
      <rPr>
        <b/>
        <sz val="12.0"/>
        <rFont val="Calibri"/>
        <family val="1"/>
      </rPr>
      <t>Revisión de cables internos:</t>
    </r>
    <r>
      <rPr>
        <sz val="12.0"/>
        <rFont val="Calibri"/>
        <family val="1"/>
      </rPr>
      <t xml:space="preserve"> Ordenamiento del cableado (cable management) para mejorar el flujo de aire y verificación de que no haya cables doblados o cerca de ventiladores.</t>
    </r>
    <phoneticPr fontId="0" type="noConversion"/>
  </si>
  <si>
    <r>
      <rPr>
        <b/>
        <sz val="12.0"/>
        <rFont val="Calibri"/>
        <family val="1"/>
      </rPr>
      <t>Limpieza de unidades de almacenamiento:</t>
    </r>
    <r>
      <rPr>
        <sz val="12.0"/>
        <rFont val="Calibri"/>
        <family val="1"/>
      </rPr>
      <t xml:space="preserve"> Retiro de polvo en discos duros mecánicos (HDD) y unidades de estado sólido (SSD), asegurando que estén firmemente atornillados para evitar vibraciones.</t>
    </r>
    <phoneticPr fontId="0" type="noConversion"/>
  </si>
  <si>
    <r>
      <rPr>
        <b/>
        <sz val="12.0"/>
        <rFont val="Calibri"/>
        <family val="1"/>
      </rPr>
      <t>Inspección de la fuente de poder:</t>
    </r>
    <r>
      <rPr>
        <sz val="12.0"/>
        <rFont val="Calibri"/>
        <family val="1"/>
      </rPr>
      <t xml:space="preserve"> Limpieza de rejillas de entrada/salida de aire y revisión visual de condensadores (buscando hinchazón o fugas).</t>
    </r>
    <phoneticPr fontId="0" type="noConversion"/>
  </si>
  <si>
    <r>
      <rPr>
        <b/>
        <sz val="12.0"/>
        <rFont val="Calibri"/>
        <family val="1"/>
      </rPr>
      <t>Cierre y prueba física: </t>
    </r>
    <r>
      <rPr>
        <sz val="12.0"/>
        <rFont val="Calibri"/>
        <family val="1"/>
      </rPr>
      <t xml:space="preserve">Colocación correcta de la tapa del gabinete, apriete de tornillos y verificación de que todos los periféricos estén conectados firmemente antes del encendido.</t>
    </r>
    <phoneticPr fontId="0" type="noConversion"/>
  </si>
  <si>
    <t xml:space="preserve">NOMBRE </t>
  </si>
  <si>
    <t>TIPO</t>
  </si>
  <si>
    <t>MODELO</t>
  </si>
  <si>
    <t>USUARIO</t>
  </si>
  <si>
    <t>AREA</t>
  </si>
  <si>
    <t xml:space="preserve">NÚMERO  DE SERVICIOS AL AÑO </t>
  </si>
  <si>
    <t>REALIZADO</t>
  </si>
  <si>
    <t>IMPRESO</t>
  </si>
  <si>
    <t>CANTIDAD DE DESKTOPS REALIZADOS:</t>
  </si>
  <si>
    <t xml:space="preserve"> GP2LT159</t>
  </si>
  <si>
    <t>LAPTOP</t>
  </si>
  <si>
    <t>HP 840 G3</t>
  </si>
  <si>
    <t>Ismael Fernandez Sarmiento (Disponible con daños)</t>
  </si>
  <si>
    <t>Sistemas</t>
  </si>
  <si>
    <t>GP2LPFSNPNL3</t>
  </si>
  <si>
    <t>Latitude 5520</t>
  </si>
  <si>
    <t>Sebastian Oyarzabal Rodriguez</t>
  </si>
  <si>
    <t>Ingenieria</t>
  </si>
  <si>
    <t>GP2LPHYCSDC4</t>
  </si>
  <si>
    <t>ProMax16Plus MB16250</t>
  </si>
  <si>
    <t>TeamFormabilidadGP2 (Ernesto,JuanCarlos)</t>
  </si>
  <si>
    <t>Matriceria</t>
  </si>
  <si>
    <t>GP2LT086</t>
  </si>
  <si>
    <t>Maria Celia Lopez (Prestamo)</t>
  </si>
  <si>
    <t>Finanzas</t>
  </si>
  <si>
    <t>GP2LT088</t>
  </si>
  <si>
    <t>Recibo (FranciscoMLopez,AngelFraHipoli</t>
  </si>
  <si>
    <t>Logistica</t>
  </si>
  <si>
    <t>GP2LT212</t>
  </si>
  <si>
    <t>Daniel Tellez Castañeda (Aduanas)</t>
  </si>
  <si>
    <t>GP2LT250</t>
  </si>
  <si>
    <t>Rey David García Galindo_x0009_</t>
  </si>
  <si>
    <t>Produccion</t>
  </si>
  <si>
    <t>GP2LT256</t>
  </si>
  <si>
    <t>Latitude 5490</t>
  </si>
  <si>
    <t>Andrea Yoselin Vaquera Fernandez</t>
  </si>
  <si>
    <t>GP2LT329</t>
  </si>
  <si>
    <t>Francisco Maclovio Bañuelos de la Garza</t>
  </si>
  <si>
    <t>GP2LT386</t>
  </si>
  <si>
    <t>Precision 7770</t>
  </si>
  <si>
    <t>Osbaldo Galicia Robles</t>
  </si>
  <si>
    <t>GP2LT266</t>
  </si>
  <si>
    <t>Precision 7730</t>
  </si>
  <si>
    <t>Adonay Cortes Garcia_x0009_</t>
  </si>
  <si>
    <t>GP2LT115</t>
  </si>
  <si>
    <t>PRECISION 7710</t>
  </si>
  <si>
    <t>Ernesto Javier Palafox Sanchez_x0009_</t>
  </si>
  <si>
    <t>GP2LT265</t>
  </si>
  <si>
    <t>Osvaldo Gutierrez Gonzalez</t>
  </si>
  <si>
    <t>GP2LT258</t>
  </si>
  <si>
    <t>Luis Angel Leal</t>
  </si>
  <si>
    <t>GP2LT273</t>
  </si>
  <si>
    <t>Latitude 5500</t>
  </si>
  <si>
    <t>Yazmin Duran Reyes</t>
  </si>
  <si>
    <t>Calidad</t>
  </si>
  <si>
    <t>GP2LT263</t>
  </si>
  <si>
    <t>Francisco Tolama Tehuitzil (Disponible con falla)</t>
  </si>
  <si>
    <t>GP2LT387</t>
  </si>
  <si>
    <t>Precision 5570</t>
  </si>
  <si>
    <t>Arturo Napoleón Pascual &amp; Jose Miron Flores</t>
  </si>
  <si>
    <t>Mantenimiento</t>
  </si>
  <si>
    <t>GP2LT267</t>
  </si>
  <si>
    <t>Precision 7730_x0009_</t>
  </si>
  <si>
    <t>TeamCentroMaquinado(Adonay,JorgeP,Nestor</t>
  </si>
  <si>
    <t>GP2LT270</t>
  </si>
  <si>
    <t>Humberto Lopez Perez</t>
  </si>
  <si>
    <t>GP2LT275</t>
  </si>
  <si>
    <t>Ernesto Carranza Coyotl</t>
  </si>
  <si>
    <t>GP2LT278</t>
  </si>
  <si>
    <t>Precision 7760</t>
  </si>
  <si>
    <t>Omar Fidel Torres Ramirez</t>
  </si>
  <si>
    <t>GP2LT281</t>
  </si>
  <si>
    <t>Latitude 5510</t>
  </si>
  <si>
    <t>Javier Arturo Rico Cruz</t>
  </si>
  <si>
    <t>GP2LPCMFX2Z2</t>
  </si>
  <si>
    <t xml:space="preserve">Disponible-Bodega </t>
  </si>
  <si>
    <t>GP2LT288</t>
  </si>
  <si>
    <t>Latitude 3510</t>
  </si>
  <si>
    <t>Angel Axel Mendez Meneses_x0009_</t>
  </si>
  <si>
    <t>Recursos Humanos</t>
  </si>
  <si>
    <t>GP2LT289</t>
  </si>
  <si>
    <t>Jael Morales Vasquez</t>
  </si>
  <si>
    <t>GP2LT284</t>
  </si>
  <si>
    <t>Rodolfo Noe Hurtado Salmeron</t>
  </si>
  <si>
    <t>GP2LT285</t>
  </si>
  <si>
    <t>Precision 5750</t>
  </si>
  <si>
    <t>Xchel Ahuitz Morales_x0009_</t>
  </si>
  <si>
    <t>GP2LT293</t>
  </si>
  <si>
    <t>Latitude 3520</t>
  </si>
  <si>
    <t>Jessica Ortiz Mino</t>
  </si>
  <si>
    <t>GP2LT257</t>
  </si>
  <si>
    <t>Miguel Angel Perez</t>
  </si>
  <si>
    <t>GP2LT274</t>
  </si>
  <si>
    <t>Noe Moises De La Luz Rosas</t>
  </si>
  <si>
    <t>GP2LT276</t>
  </si>
  <si>
    <t>Guadalupe Teresa Perez Cruz</t>
  </si>
  <si>
    <t>GP2LT295</t>
  </si>
  <si>
    <t>Jose Eduardo Rodriguez Esteban</t>
  </si>
  <si>
    <t>GP2LT301</t>
  </si>
  <si>
    <t>Abraham Aguirre</t>
  </si>
  <si>
    <t>GP2LT283</t>
  </si>
  <si>
    <t>Felipe Arceta Franzua</t>
  </si>
  <si>
    <t>GP2LT307</t>
  </si>
  <si>
    <t>Magaly Guerrero Moran</t>
  </si>
  <si>
    <t>Compras</t>
  </si>
  <si>
    <t>GP2LT312</t>
  </si>
  <si>
    <t>Emmanuel Torres Rodriguez</t>
  </si>
  <si>
    <t>GP2LT298</t>
  </si>
  <si>
    <t>Karla Martha Solis Ramirez</t>
  </si>
  <si>
    <t>GP2LT306</t>
  </si>
  <si>
    <t>Octavio Gibran Pantoja Estevez</t>
  </si>
  <si>
    <t>GP2LT308</t>
  </si>
  <si>
    <t>Maria Celia Pascual Lopez</t>
  </si>
  <si>
    <t>GP2LT385</t>
  </si>
  <si>
    <t>Formabilidad (Ernesto, Juan Carlos..</t>
  </si>
  <si>
    <t>GP2LT305</t>
  </si>
  <si>
    <t>Andrea Stephanie Suter</t>
  </si>
  <si>
    <t>Direccion</t>
  </si>
  <si>
    <t>GP2LT309</t>
  </si>
  <si>
    <t>Juan Carlos Timoteo Mariscal</t>
  </si>
  <si>
    <t>GP2LT294</t>
  </si>
  <si>
    <t>Eduardo Alejandro Mendez Salazar</t>
  </si>
  <si>
    <t>GP2LT297</t>
  </si>
  <si>
    <t>Francisco Javier Aguilar Peralta</t>
  </si>
  <si>
    <t>GP2LT300</t>
  </si>
  <si>
    <t>Angel Arturo Sarmiento Mendez</t>
  </si>
  <si>
    <t>GP2LT313</t>
  </si>
  <si>
    <t>Latitude 5520_x0009_</t>
  </si>
  <si>
    <t>Jesus Trejo Flores</t>
  </si>
  <si>
    <t>GP2LT291</t>
  </si>
  <si>
    <t>Vladimir Cuapa San Juan</t>
  </si>
  <si>
    <t>GP2LT315</t>
  </si>
  <si>
    <t>Alberto Nasta Salazar</t>
  </si>
  <si>
    <t>GP2LT318</t>
  </si>
  <si>
    <t>Jose Olmos Juarez</t>
  </si>
  <si>
    <t>GP2LT321</t>
  </si>
  <si>
    <t>Jorge Alberto Ramirez Nicolas</t>
  </si>
  <si>
    <t>GP2LT322</t>
  </si>
  <si>
    <t>Luis Eduardo Mendez</t>
  </si>
  <si>
    <t>GP2LT325</t>
  </si>
  <si>
    <t>Paola Barranco</t>
  </si>
  <si>
    <t>GP2LT333</t>
  </si>
  <si>
    <t>Carlos Tadeo Castillo De La Rosa</t>
  </si>
  <si>
    <t>GP2LT344</t>
  </si>
  <si>
    <t>Francisco Paez Torrecillas_x0009_</t>
  </si>
  <si>
    <t>GP2LT350</t>
  </si>
  <si>
    <t>Latitude 9430</t>
  </si>
  <si>
    <t>JITKA KACHLMAIEROVA</t>
  </si>
  <si>
    <t>GP2LT319</t>
  </si>
  <si>
    <t>Ricardo Lozano Huitzil</t>
  </si>
  <si>
    <t>GP2LT326</t>
  </si>
  <si>
    <t>Disponible-Bodega</t>
  </si>
  <si>
    <t>GP2LT345</t>
  </si>
  <si>
    <t>Latitude 7420</t>
  </si>
  <si>
    <t>GP2LT352</t>
  </si>
  <si>
    <t>Latitude 7430</t>
  </si>
  <si>
    <t>Disponible-Rafa</t>
  </si>
  <si>
    <t>GP2LT292</t>
  </si>
  <si>
    <t>Maria Esveydi Perez Arce</t>
  </si>
  <si>
    <t>GP2LT361</t>
  </si>
  <si>
    <t>Eloy Francisco Hernandez Rodriguez</t>
  </si>
  <si>
    <t>GP2LT337</t>
  </si>
  <si>
    <t>Jahir Ivan Mora Verona</t>
  </si>
  <si>
    <t>GP2LT341</t>
  </si>
  <si>
    <t>Raymundo Tamayo Cadena</t>
  </si>
  <si>
    <t>GP2LT368</t>
  </si>
  <si>
    <t>Anabell Mani Quechol</t>
  </si>
  <si>
    <t>GP2LT314</t>
  </si>
  <si>
    <t>Alejandro De Jesus Xaca Cardenas</t>
  </si>
  <si>
    <t>GP2LT332</t>
  </si>
  <si>
    <t>Alejandra Gavito Ramos</t>
  </si>
  <si>
    <t>GP2LT343</t>
  </si>
  <si>
    <t>Jose Alberto Diaz Silva</t>
  </si>
  <si>
    <t>GP2LT354</t>
  </si>
  <si>
    <t>Miguel Andres Flores</t>
  </si>
  <si>
    <t>GP2LT290</t>
  </si>
  <si>
    <t>Teresita de Jesus Rojas Ruiz_x0009_</t>
  </si>
  <si>
    <t>GP2LT328</t>
  </si>
  <si>
    <t>Domingo Jimenez</t>
  </si>
  <si>
    <t>GP2LT264</t>
  </si>
  <si>
    <t>Victor Muñoz</t>
  </si>
  <si>
    <t>GP2LT331</t>
  </si>
  <si>
    <t>Rocio Sanchez Serrano</t>
  </si>
  <si>
    <t>GP2LT334</t>
  </si>
  <si>
    <t>Angel Josue Monterrosas</t>
  </si>
  <si>
    <t>GP2LT335</t>
  </si>
  <si>
    <t>Daniel Ramirez Martinez</t>
  </si>
  <si>
    <t>GP2LT340</t>
  </si>
  <si>
    <t>Alam Yair Serrano</t>
  </si>
  <si>
    <t>GP2LT356</t>
  </si>
  <si>
    <t>Roman Alejandro Contreras</t>
  </si>
  <si>
    <t>GP2LT358</t>
  </si>
  <si>
    <t>Osvaldo Islas Pelcastre</t>
  </si>
  <si>
    <t>GP2LT359</t>
  </si>
  <si>
    <t>Emilia Azaneth Baez</t>
  </si>
  <si>
    <t>GP2LT362</t>
  </si>
  <si>
    <t>Jose Daniel Hernandez Galindo_x0009_</t>
  </si>
  <si>
    <t>GP2LT364</t>
  </si>
  <si>
    <t>Jose Eduardo Castillo Cortes</t>
  </si>
  <si>
    <t>GP2LT365</t>
  </si>
  <si>
    <t>Juan Antonio Garcia Angel</t>
  </si>
  <si>
    <t>GP2LT158</t>
  </si>
  <si>
    <t>Ari Ernesto Juarez Martinez</t>
  </si>
  <si>
    <t>GP2LT317</t>
  </si>
  <si>
    <t>Addy De Jesus Hernandez</t>
  </si>
  <si>
    <t>GP2LP3B3J4B3</t>
  </si>
  <si>
    <t>Gabriela Vazquez Sanchez</t>
  </si>
  <si>
    <t>GP2LT338</t>
  </si>
  <si>
    <t>Roberto Andres Lozano Hoyos_x0009_</t>
  </si>
  <si>
    <t>GP2LT347</t>
  </si>
  <si>
    <t>Jose Luis Roldan Carreon</t>
  </si>
  <si>
    <t>GP2LT348</t>
  </si>
  <si>
    <t>Edgar Becerril Espinosa_x0009_</t>
  </si>
  <si>
    <t>GP2LT353</t>
  </si>
  <si>
    <t>Cesar Alejandro Armenta Rodrigo</t>
  </si>
  <si>
    <t>GP2LT355</t>
  </si>
  <si>
    <t>Erik Alfredo Juarez</t>
  </si>
  <si>
    <t>GP2LT366</t>
  </si>
  <si>
    <t>Omar Zitle Zitle</t>
  </si>
  <si>
    <t>GP2LT367</t>
  </si>
  <si>
    <t>Luis Arturo Lezama Quintero</t>
  </si>
  <si>
    <t>GP2LT371</t>
  </si>
  <si>
    <t>Leopoldo Israel Magaña Sanchez</t>
  </si>
  <si>
    <t>GP2LT376</t>
  </si>
  <si>
    <t>Luis Arturo Martinez Ramirez</t>
  </si>
  <si>
    <t>GP2LT311</t>
  </si>
  <si>
    <t>Alex Ivan Rojas Velazquez</t>
  </si>
  <si>
    <t>GP2LT346</t>
  </si>
  <si>
    <t>Rafael Pablo Cuaya</t>
  </si>
  <si>
    <t>GP2LP8N3XNV2</t>
  </si>
  <si>
    <t xml:space="preserve">Jose Antonio Santiago </t>
  </si>
  <si>
    <t>GP2LT271</t>
  </si>
  <si>
    <t>Eustaquio Hernandez Sanchez</t>
  </si>
  <si>
    <t>GP2LT296</t>
  </si>
  <si>
    <t>Rafael Ramirez Cazares</t>
  </si>
  <si>
    <t>GP2LT304</t>
  </si>
  <si>
    <t>Latitude 5320</t>
  </si>
  <si>
    <t>GP2LP1C3J4B3</t>
  </si>
  <si>
    <t>Rafael Pablo (SistemasGP2)</t>
  </si>
  <si>
    <t>GP2LT330</t>
  </si>
  <si>
    <t>GP2LT357</t>
  </si>
  <si>
    <t>Nestor Adrian Lozano Olivera</t>
  </si>
  <si>
    <t>GP2LT381</t>
  </si>
  <si>
    <t>Maria Alejandra Gonzalez</t>
  </si>
  <si>
    <t>GP2LT316</t>
  </si>
  <si>
    <t>Daniel Tellez Castañeda</t>
  </si>
  <si>
    <t>GP2LT372</t>
  </si>
  <si>
    <t>Santa Ramirez Contreras</t>
  </si>
  <si>
    <t>GP2LT360</t>
  </si>
  <si>
    <t>Rocio Vargas Muñoz</t>
  </si>
  <si>
    <t>GP2LT378</t>
  </si>
  <si>
    <t>Miguel Angel Ramirez Luna</t>
  </si>
  <si>
    <t>GP2LT379</t>
  </si>
  <si>
    <t>Jose Trinidad Juarez</t>
  </si>
  <si>
    <t>GP2LT373</t>
  </si>
  <si>
    <t>Luis Augusto Cruz Galindo</t>
  </si>
  <si>
    <t>GP2LT384</t>
  </si>
  <si>
    <t>Miroslava Rodriguez Canseco</t>
  </si>
  <si>
    <t>GP2LT370</t>
  </si>
  <si>
    <t>Ricardo Millan Rodriguez_x0009_</t>
  </si>
  <si>
    <t>GP2LT176</t>
  </si>
  <si>
    <t>Miguel Martinez Ramirez</t>
  </si>
  <si>
    <t>GP2LT349</t>
  </si>
  <si>
    <t>Jorge Alberto Campos</t>
  </si>
  <si>
    <t>GP2LT369</t>
  </si>
  <si>
    <t>Carlos Alberto Martinez Alvarez</t>
  </si>
  <si>
    <t>GP2LT377</t>
  </si>
  <si>
    <t>Macario Aguilera</t>
  </si>
  <si>
    <t>GP2LT374</t>
  </si>
  <si>
    <t>Saul Osorio Osorio</t>
  </si>
  <si>
    <t>GP2LT383</t>
  </si>
  <si>
    <t>Janeth Paredes Monroy</t>
  </si>
  <si>
    <t>GP2LT324</t>
  </si>
  <si>
    <t>Jose Antonio Gonzalez</t>
  </si>
  <si>
    <t>GP2LT380</t>
  </si>
  <si>
    <t>Angel David Zeledon</t>
  </si>
  <si>
    <t>GP2LT323</t>
  </si>
  <si>
    <t>Efrain Cote_x0009_</t>
  </si>
  <si>
    <t>GP2DK130P664</t>
  </si>
  <si>
    <t>DESKTOP</t>
  </si>
  <si>
    <t>OptiPlex SFF Plus 7020</t>
  </si>
  <si>
    <t>Celda 13</t>
  </si>
  <si>
    <t>SI</t>
  </si>
  <si>
    <t>GP2DK140P664</t>
  </si>
  <si>
    <t>Celda 17</t>
  </si>
  <si>
    <t>GP2DK230P664</t>
  </si>
  <si>
    <t>Victor Hugo Garcia ( Transfer )</t>
  </si>
  <si>
    <t>Transfer</t>
  </si>
  <si>
    <t>GP2DK240P664</t>
  </si>
  <si>
    <t xml:space="preserve">Gabriela Vazquez Sanchez </t>
  </si>
  <si>
    <t>Pedestal 02</t>
  </si>
  <si>
    <t>GP2DK330P664</t>
  </si>
  <si>
    <t>Victor Hugo Garcia</t>
  </si>
  <si>
    <t>Progresivas 1000Tn</t>
  </si>
  <si>
    <t>GP2DK340P664</t>
  </si>
  <si>
    <t>Jonathan, Jose,</t>
  </si>
  <si>
    <t>CAPITANES PRENSAS PROGRESIVO</t>
  </si>
  <si>
    <t>GP2DK430P664</t>
  </si>
  <si>
    <t>Celda 06</t>
  </si>
  <si>
    <t>GP2DK440P664</t>
  </si>
  <si>
    <t>Celda 01 -P15</t>
  </si>
  <si>
    <t>GP2DK530P664</t>
  </si>
  <si>
    <t>Disponible Bodega</t>
  </si>
  <si>
    <t>GP2DK540P664</t>
  </si>
  <si>
    <t>Corte Laser18</t>
  </si>
  <si>
    <t>GP2DK630P664</t>
  </si>
  <si>
    <t>PHD 1</t>
  </si>
  <si>
    <t>GP2DK640P664</t>
  </si>
  <si>
    <t>Jose Reyes, Gaudencio</t>
  </si>
  <si>
    <t>Mantenimiento PHD2</t>
  </si>
  <si>
    <t>GP2DK730P664</t>
  </si>
  <si>
    <t>Celda 14</t>
  </si>
  <si>
    <t>GP2DK740P664</t>
  </si>
  <si>
    <t>Arisbeth Ramirez</t>
  </si>
  <si>
    <t>AlmacenGP2</t>
  </si>
  <si>
    <t>GP2DK830P664</t>
  </si>
  <si>
    <t>Pedestal 44</t>
  </si>
  <si>
    <t>GP2DK920P664</t>
  </si>
  <si>
    <t>Celda 09</t>
  </si>
  <si>
    <t>GP2DK940P664</t>
  </si>
  <si>
    <t xml:space="preserve">Victor Hugo Garcia </t>
  </si>
  <si>
    <t>PHD2</t>
  </si>
  <si>
    <t>GP2DKB20P664</t>
  </si>
  <si>
    <t>JosueHernandez, Ramon T</t>
  </si>
  <si>
    <t>Team Calidad Tandem</t>
  </si>
  <si>
    <t>GP2DKB40P664</t>
  </si>
  <si>
    <t>Tandem cabecera</t>
  </si>
  <si>
    <t>GP2DKC20P664</t>
  </si>
  <si>
    <t>Progresivas 500Tn</t>
  </si>
  <si>
    <t>GP2DKC30P664</t>
  </si>
  <si>
    <t>Brima-proseg Vigilancia</t>
  </si>
  <si>
    <t>TEAM VIGILANCIA</t>
  </si>
  <si>
    <t>GP2DKC40P664</t>
  </si>
  <si>
    <t>Metalografia</t>
  </si>
  <si>
    <t>GP2DKD20P664</t>
  </si>
  <si>
    <t>JoseIRodri,JoseSanchez</t>
  </si>
  <si>
    <t>Team Control Point</t>
  </si>
  <si>
    <t>GP2DKD40P664</t>
  </si>
  <si>
    <t>Eligio Murrieta, JoseD Domingues</t>
  </si>
  <si>
    <t>RECIBO GP2</t>
  </si>
  <si>
    <t>GP2DKF20P664</t>
  </si>
  <si>
    <t>DanielR, Julian</t>
  </si>
  <si>
    <t>GP2DKF30P664</t>
  </si>
  <si>
    <t>Fredy,Daniel,Jose</t>
  </si>
  <si>
    <t>Team Matriceria Tandem</t>
  </si>
  <si>
    <t>GP2DKB30P664</t>
  </si>
  <si>
    <t>Victor Hugo Garcia (MetalFinish)</t>
  </si>
  <si>
    <t>GP2DKF40P664</t>
  </si>
  <si>
    <t>Miguel Angel Francisco</t>
  </si>
  <si>
    <t>GP2DKG20P664</t>
  </si>
  <si>
    <t>CL 01</t>
  </si>
  <si>
    <t>GP2DKG30P664</t>
  </si>
  <si>
    <t>Matricería PHD</t>
  </si>
  <si>
    <t>GP2DKJ20P664</t>
  </si>
  <si>
    <t>Arely, Rene</t>
  </si>
  <si>
    <t>Team Conteos Ciclicos Logistica</t>
  </si>
  <si>
    <t>GP2DKG40P664</t>
  </si>
  <si>
    <t>Diana Juarez,Pablo G Sanchez</t>
  </si>
  <si>
    <t>CuarentenaF1</t>
  </si>
  <si>
    <t>GP2DKGM0V92R5</t>
  </si>
  <si>
    <t>Legion T7</t>
  </si>
  <si>
    <t>Medición-LS</t>
  </si>
  <si>
    <t>GP2DKH20P664</t>
  </si>
  <si>
    <t>CL 11-12</t>
  </si>
  <si>
    <t>GP2DKH30P664</t>
  </si>
  <si>
    <t>PHD 3</t>
  </si>
  <si>
    <t>GP2DKJ30P664</t>
  </si>
  <si>
    <t>Vibny, Luis, Marcos</t>
  </si>
  <si>
    <t>Team Manto Tandem</t>
  </si>
  <si>
    <t>GP2PC003</t>
  </si>
  <si>
    <t>800 G1 SFF</t>
  </si>
  <si>
    <t>Daniel Vazquez</t>
  </si>
  <si>
    <t>GP2PC005</t>
  </si>
  <si>
    <t>Mantenimiento Ensambles</t>
  </si>
  <si>
    <t>GP2PC010</t>
  </si>
  <si>
    <t>GP2PC013</t>
  </si>
  <si>
    <t>WorkStation Z620</t>
  </si>
  <si>
    <t>WorkStation Matriceria</t>
  </si>
  <si>
    <t>GP2PC017</t>
  </si>
  <si>
    <t>GP2PC019</t>
  </si>
  <si>
    <t>GP2PC024</t>
  </si>
  <si>
    <t>GP2PC028</t>
  </si>
  <si>
    <t>Z230 TOWER WORKSTATION</t>
  </si>
  <si>
    <t>Catia Ingenieria</t>
  </si>
  <si>
    <t>GP2PC030</t>
  </si>
  <si>
    <t>GP2PC031</t>
  </si>
  <si>
    <t>GP2PC036</t>
  </si>
  <si>
    <t>VictorG,Octaviano Chi</t>
  </si>
  <si>
    <t>Auditores Calidad</t>
  </si>
  <si>
    <t>GP2PC038</t>
  </si>
  <si>
    <t>700 G1 SFF</t>
  </si>
  <si>
    <t>Pantallas Tandem</t>
  </si>
  <si>
    <t>GP2PC039</t>
  </si>
  <si>
    <t>Equipo para proyección en comedor</t>
  </si>
  <si>
    <t>GP2PC040</t>
  </si>
  <si>
    <t>GP2PC043</t>
  </si>
  <si>
    <t>Alexis de Jesus Ventura Rizo</t>
  </si>
  <si>
    <t>GP2PC045</t>
  </si>
  <si>
    <t>Auxiliares Produccion</t>
  </si>
  <si>
    <t>GP2PC046</t>
  </si>
  <si>
    <t>Juan Garcia, Jose Ri</t>
  </si>
  <si>
    <t>Titulares Calidad</t>
  </si>
  <si>
    <t>GP2PC062</t>
  </si>
  <si>
    <t>Pantalla Francisco Javier Contreras</t>
  </si>
  <si>
    <t>GP2PC063</t>
  </si>
  <si>
    <t>GP2PC065</t>
  </si>
  <si>
    <t>Z440 Workstation</t>
  </si>
  <si>
    <t>GP2PC066</t>
  </si>
  <si>
    <t>Juan Carlos Romero, Luis V &amp; Jahir Mora</t>
  </si>
  <si>
    <t>GP2PC069</t>
  </si>
  <si>
    <t>GP2PC071</t>
  </si>
  <si>
    <t>Taller Fase 2</t>
  </si>
  <si>
    <t>GP2PC075</t>
  </si>
  <si>
    <t>Ulises Velazquez</t>
  </si>
  <si>
    <t>GP2PC076</t>
  </si>
  <si>
    <t>Tecnicos de mantenimiento(Napoleon,Jose.</t>
  </si>
  <si>
    <t>GP2PC086</t>
  </si>
  <si>
    <t>GP2PC088</t>
  </si>
  <si>
    <t>Mantenimiento Soldadura GP2</t>
  </si>
  <si>
    <t>GP2PC089</t>
  </si>
  <si>
    <t>GP2PC090</t>
  </si>
  <si>
    <t>GP2PC0053</t>
  </si>
  <si>
    <t>MARCA VENTILADOR</t>
  </si>
  <si>
    <t>GP2PC092</t>
  </si>
  <si>
    <t>Mantenimiento Laser</t>
  </si>
  <si>
    <t>GP2PC093</t>
  </si>
  <si>
    <t>GP2PC097</t>
  </si>
  <si>
    <t>Matriceria Taller Fase 2</t>
  </si>
  <si>
    <t>si</t>
  </si>
  <si>
    <t>GP2PC096</t>
  </si>
  <si>
    <t>Matriceria Taller PHD</t>
  </si>
  <si>
    <t>GP2PC058</t>
  </si>
  <si>
    <t>Team Ingenieria &amp; Mantenimiento (Celda 50)</t>
  </si>
  <si>
    <t>GP2PC100</t>
  </si>
  <si>
    <t>800 G2 TWR</t>
  </si>
  <si>
    <t>GP2PC103</t>
  </si>
  <si>
    <t>GP2PC107</t>
  </si>
  <si>
    <t>800 G3 SFF</t>
  </si>
  <si>
    <t>Scrap Andrea, Concepcion</t>
  </si>
  <si>
    <t>GP2PC108</t>
  </si>
  <si>
    <t>GP2PC111</t>
  </si>
  <si>
    <t>Miguel Angel Ramirez</t>
  </si>
  <si>
    <t>GP2PC114</t>
  </si>
  <si>
    <t>Servicio Medico</t>
  </si>
  <si>
    <t>GP2PC115</t>
  </si>
  <si>
    <t>Hector, Victor, Oscar, Denise</t>
  </si>
  <si>
    <t>GP2PC117</t>
  </si>
  <si>
    <t>600 G3 PDS</t>
  </si>
  <si>
    <t>Server Autoform</t>
  </si>
  <si>
    <t>GP2PC121</t>
  </si>
  <si>
    <t>GP2PC119</t>
  </si>
  <si>
    <t>GP2PC122</t>
  </si>
  <si>
    <t>Auditores calidad</t>
  </si>
  <si>
    <t>GP2PC124</t>
  </si>
  <si>
    <t>OptiPlex 3060</t>
  </si>
  <si>
    <t>Ensambles Celda 3</t>
  </si>
  <si>
    <t>PROBLEMAS DE DISCO</t>
  </si>
  <si>
    <t>GP2PC125</t>
  </si>
  <si>
    <t>Optiplex 3060</t>
  </si>
  <si>
    <t>Ensambles Celda 37</t>
  </si>
  <si>
    <t>GP2PC126</t>
  </si>
  <si>
    <t>Ensambles Celda 4</t>
  </si>
  <si>
    <t>GP2PC127</t>
  </si>
  <si>
    <t>M715s Desktop</t>
  </si>
  <si>
    <t>Eduardo Alejandro Salazar</t>
  </si>
  <si>
    <t>GP2PC128</t>
  </si>
  <si>
    <t>OptiPlex 3080</t>
  </si>
  <si>
    <t>GP2PC129</t>
  </si>
  <si>
    <t>GP2PC130</t>
  </si>
  <si>
    <t>Optiplex 5480</t>
  </si>
  <si>
    <t>Gurukul</t>
  </si>
  <si>
    <t>GP2PC131</t>
  </si>
  <si>
    <t>GP2PC132</t>
  </si>
  <si>
    <t>GP2PC133</t>
  </si>
  <si>
    <t>GP2PC134</t>
  </si>
  <si>
    <t>GP2PC136</t>
  </si>
  <si>
    <t>OptiPlex 5090</t>
  </si>
  <si>
    <t>Disponible antesChecadores RRHH -BioTime</t>
  </si>
  <si>
    <t>NO ESTABA EN ESTA LISTA</t>
  </si>
  <si>
    <t>GP2PC135</t>
  </si>
  <si>
    <t>GP2PC137</t>
  </si>
  <si>
    <t>Precision 3640</t>
  </si>
  <si>
    <t>Metalografia  Microdurometro</t>
  </si>
  <si>
    <t>GP2PC138</t>
  </si>
  <si>
    <t>Capitanes Ensambles</t>
  </si>
  <si>
    <t>GP2PC139</t>
  </si>
  <si>
    <t>Precision 5820 Tower</t>
  </si>
  <si>
    <t>Matriceria Fase 2</t>
  </si>
  <si>
    <t>GP2PC140</t>
  </si>
  <si>
    <t>GP2PC141</t>
  </si>
  <si>
    <t>Optiplex 5090</t>
  </si>
  <si>
    <t>Producción Tandem Derecha</t>
  </si>
  <si>
    <t>GP2PC142</t>
  </si>
  <si>
    <t>Optiplex 5400 AIO</t>
  </si>
  <si>
    <t xml:space="preserve">KIOSCO </t>
  </si>
  <si>
    <t>GP2PC144</t>
  </si>
  <si>
    <t>Embarques 2</t>
  </si>
  <si>
    <t>GP2PC145</t>
  </si>
  <si>
    <t>Embarques 3</t>
  </si>
  <si>
    <t>GP2PC146</t>
  </si>
  <si>
    <t>GP2PC147</t>
  </si>
  <si>
    <t>GP2PC148</t>
  </si>
  <si>
    <t>Francisco Paez (Pantallas GSD)</t>
  </si>
  <si>
    <t>GP2PC149</t>
  </si>
  <si>
    <t>Cordinadores Emb(Francisco,Abrham,Ulises</t>
  </si>
  <si>
    <t>GP2PC150</t>
  </si>
  <si>
    <t>Andrea C &amp; Concepcion</t>
  </si>
  <si>
    <t>GP2PC151</t>
  </si>
  <si>
    <t>Embarques 1</t>
  </si>
  <si>
    <t>GP2PC152</t>
  </si>
  <si>
    <t>GP2PC153</t>
  </si>
  <si>
    <t>Erick Roldan</t>
  </si>
  <si>
    <t>Metrologia</t>
  </si>
  <si>
    <t>GP2PC154</t>
  </si>
  <si>
    <t>GP2PC155</t>
  </si>
  <si>
    <t>Precision 3460 SFF</t>
  </si>
  <si>
    <t>GP2PC156</t>
  </si>
  <si>
    <t>Precision 3460</t>
  </si>
  <si>
    <t>GP2PC157</t>
  </si>
  <si>
    <t>Metrologia GP2</t>
  </si>
  <si>
    <t>GP2PC160</t>
  </si>
  <si>
    <t>Precision 7960</t>
  </si>
  <si>
    <t>GOM_1</t>
  </si>
  <si>
    <t>GP2PC161</t>
  </si>
  <si>
    <t xml:space="preserve"> GOM_2</t>
  </si>
  <si>
    <t>HISTORIAL DE CAMBIOS</t>
  </si>
  <si>
    <t>Fecha</t>
  </si>
  <si>
    <t>Descripción</t>
  </si>
  <si>
    <t>Versión</t>
  </si>
  <si>
    <t>26.05.14</t>
  </si>
  <si>
    <t>Alta del documento</t>
  </si>
  <si>
    <t>00</t>
  </si>
  <si>
    <t>23.08.18</t>
  </si>
  <si>
    <t xml:space="preserve">Se elimina cláusulas del Documento </t>
  </si>
  <si>
    <t>01</t>
  </si>
  <si>
    <t>28.04.2022</t>
  </si>
  <si>
    <t>Se actualiza logo, se optimiza formato, se agrega actividad OK, NOK, más descripción de actividades realizadas.</t>
  </si>
  <si>
    <t>02</t>
  </si>
  <si>
    <t>10.11.2023</t>
  </si>
  <si>
    <t>Se actualiza código de procedencia de P-021-SI a M-04-SI, por baja del SGC de procedimiento, se fusiona contenido en M-04-SI</t>
  </si>
  <si>
    <t>03</t>
  </si>
  <si>
    <t>Código: R-096-SI
Versión: 03
Fecha: 28.10.aa
Cód. DE Proced: M-04-SI</t>
  </si>
  <si>
    <r>
      <rPr>
        <sz val="12.0"/>
        <rFont val="Calibri"/>
        <family val="1"/>
      </rPr>
      <t>Inspección visual externa:</t>
    </r>
    <r>
      <rPr>
        <sz val="12.0"/>
        <rFont val="Calibri"/>
        <family val="1"/>
      </rPr>
      <t xml:space="preserve"> Revisión de carcasa, cables, conectores y periféricos en busca de daños físicos, grietas o signos de sobrecalentamiento. </t>
    </r>
    <phoneticPr fontId="0" type="noConversion"/>
  </si>
  <si>
    <r>
      <rPr>
        <b/>
        <sz val="12.0"/>
        <rFont val="Calibri"/>
        <family val="1"/>
      </rPr>
      <t>Limpieza externa de periféricos:</t>
    </r>
    <r>
      <rPr>
        <sz val="12.0"/>
        <rFont val="Calibri"/>
        <family val="1"/>
      </rPr>
      <t xml:space="preserve"> Desinfección y retiro de suciedad en teclado, mouse, monitor y carcasa del gabinete con paños de microfibra y soluciones limpiadoras no abrasivas.</t>
    </r>
    <phoneticPr fontId="0" type="noConversion"/>
  </si>
  <si>
    <r>
      <rPr>
        <b/>
        <sz val="12.0"/>
        <rFont val="Calibri"/>
        <family val="1"/>
      </rPr>
      <t>Apertura segura del gabinete:</t>
    </r>
    <r>
      <rPr>
        <sz val="12.0"/>
        <rFont val="Calibri"/>
        <family val="1"/>
      </rPr>
      <t xml:space="preserve"> Desatornillado y retirada de la tapa lateral siguiendo protocolos de descarga electrostática (uso de pulsera antiestática).</t>
    </r>
    <phoneticPr fontId="0" type="noConversion"/>
  </si>
  <si>
    <r>
      <rPr>
        <b/>
        <sz val="12.0"/>
        <rFont val="Calibri"/>
        <family val="1"/>
      </rPr>
      <t>Remoción de polvo interno:</t>
    </r>
    <r>
      <rPr>
        <sz val="12.0"/>
        <rFont val="Calibri"/>
        <family val="1"/>
      </rPr>
      <t xml:space="preserve"> Eliminación de polvo acumulado en la tarjeta madre, fuente de poder, ventiladores y disipadores mediante aire comprimido y brochas antiestáticas. </t>
    </r>
    <phoneticPr fontId="0" type="noConversion"/>
  </si>
  <si>
    <r>
      <rPr>
        <b/>
        <sz val="12.0"/>
        <rFont val="Calibri"/>
        <family val="1"/>
      </rPr>
      <t>Limpieza de ventiladores:</t>
    </r>
    <r>
      <rPr>
        <sz val="12.0"/>
        <rFont val="Calibri"/>
        <family val="1"/>
      </rPr>
      <t xml:space="preserve"> Bloqueo de aspas para evitar giros forzados y limpieza profunda de ejes y paletas; lubricación si presentan ruido o resistencia.</t>
    </r>
    <phoneticPr fontId="0" type="noConversion"/>
  </si>
  <si>
    <r>
      <rPr>
        <b/>
        <sz val="12.0"/>
        <rFont val="Calibri"/>
        <family val="1"/>
      </rPr>
      <t>Reasentamiento de componentes:</t>
    </r>
    <r>
      <rPr>
        <sz val="12.0"/>
        <rFont val="Calibri"/>
        <family val="1"/>
      </rPr>
      <t xml:space="preserve"> Extracción y reinserción de módulos de memoria RAM, tarjetas de expansión (GPU, sonido, red) y conectores de energía/datos para eliminar óxido o falsos contactos.</t>
    </r>
    <phoneticPr fontId="0" type="noConversion"/>
  </si>
  <si>
    <r>
      <rPr>
        <b/>
        <sz val="12.0"/>
        <rFont val="Calibri"/>
        <family val="1"/>
      </rPr>
      <t>Limpieza de contactos eléctricos:</t>
    </r>
    <r>
      <rPr>
        <sz val="12.0"/>
        <rFont val="Calibri"/>
        <family val="1"/>
      </rPr>
      <t xml:space="preserve"> Aplicación de alcohol isopropílico en pines de procesador, ranuras de expansión y conectores de discos duros.</t>
    </r>
    <phoneticPr fontId="0" type="noConversion"/>
  </si>
  <si>
    <r>
      <rPr>
        <b/>
        <sz val="12.0"/>
        <rFont val="Calibri"/>
        <family val="1"/>
      </rPr>
      <t>Mantenimiento térmico:</t>
    </r>
    <r>
      <rPr>
        <sz val="12.0"/>
        <rFont val="Calibri"/>
        <family val="1"/>
      </rPr>
      <t xml:space="preserve"> Retiro de pasta térmica seca del procesador (CPU) y GPU, limpieza de la superficie del disipador y aplicación de nueva pasta térmica.</t>
    </r>
    <phoneticPr fontId="0" type="noConversion"/>
  </si>
  <si>
    <r>
      <rPr>
        <b/>
        <sz val="12.0"/>
        <rFont val="Calibri"/>
        <family val="1"/>
      </rPr>
      <t>Revisión de cables internos:</t>
    </r>
    <r>
      <rPr>
        <sz val="12.0"/>
        <rFont val="Calibri"/>
        <family val="1"/>
      </rPr>
      <t xml:space="preserve"> Ordenamiento del cableado (cable management) para mejorar el flujo de aire y verificación de que no haya cables doblados o cerca de ventiladores.</t>
    </r>
    <phoneticPr fontId="0" type="noConversion"/>
  </si>
  <si>
    <r>
      <rPr>
        <b/>
        <sz val="12.0"/>
        <rFont val="Calibri"/>
        <family val="1"/>
      </rPr>
      <t>Limpieza de unidades de almacenamiento:</t>
    </r>
    <r>
      <rPr>
        <sz val="12.0"/>
        <rFont val="Calibri"/>
        <family val="1"/>
      </rPr>
      <t xml:space="preserve"> Retiro de polvo en discos duros mecánicos (HDD) y unidades de estado sólido (SSD), asegurando que estén firmemente atornillados para evitar vibraciones.</t>
    </r>
    <phoneticPr fontId="0" type="noConversion"/>
  </si>
  <si>
    <r>
      <rPr>
        <b/>
        <sz val="12.0"/>
        <rFont val="Calibri"/>
        <family val="1"/>
      </rPr>
      <t>Inspección de la fuente de poder:</t>
    </r>
    <r>
      <rPr>
        <sz val="12.0"/>
        <rFont val="Calibri"/>
        <family val="1"/>
      </rPr>
      <t xml:space="preserve"> Limpieza de rejillas de entrada/salida de aire y revisión visual de condensadores (buscando hinchazón o fugas).</t>
    </r>
    <phoneticPr fontId="0" type="noConversion"/>
  </si>
  <si>
    <r>
      <rPr>
        <b/>
        <sz val="12.0"/>
        <rFont val="Calibri"/>
        <family val="1"/>
      </rPr>
      <t>Cierre y prueba física: </t>
    </r>
    <r>
      <rPr>
        <sz val="12.0"/>
        <rFont val="Calibri"/>
        <family val="1"/>
      </rPr>
      <t xml:space="preserve">Colocación correcta de la tapa del gabinete, apriete de tornillos y verificación de que todos los periféricos estén conectados firmemente antes del encendido.</t>
    </r>
    <phoneticPr fontId="0" type="noConversion"/>
  </si>
  <si>
    <r>
      <rPr>
        <b/>
        <sz val="12.0"/>
        <rFont val="Calibri"/>
        <family val="1"/>
      </rPr>
      <t>Inspección visual externa:</t>
    </r>
    <r>
      <rPr>
        <sz val="12.0"/>
        <rFont val="Calibri"/>
        <family val="1"/>
      </rPr>
      <t xml:space="preserve"> Revisión de carcasa, cables, conectores y periféricos en busca de daños físicos, grietas o signos de sobrecalentamiento. </t>
    </r>
    <phoneticPr fontId="0" type="noConversion"/>
  </si>
  <si>
    <r>
      <rPr>
        <b/>
        <sz val="12.0"/>
        <rFont val="Calibri"/>
        <family val="1"/>
      </rPr>
      <t>Limpieza externa de periféricos:</t>
    </r>
    <r>
      <rPr>
        <sz val="12.0"/>
        <rFont val="Calibri"/>
        <family val="1"/>
      </rPr>
      <t xml:space="preserve"> Desinfección y retiro de suciedad en teclado, mouse, monitor y carcasa del gabinete con paños de microfibra y soluciones limpiadoras no abrasivas.</t>
    </r>
    <phoneticPr fontId="0" type="noConversion"/>
  </si>
  <si>
    <r>
      <rPr>
        <b/>
        <sz val="12.0"/>
        <rFont val="Calibri"/>
        <family val="1"/>
      </rPr>
      <t>Apertura segura del gabinete:</t>
    </r>
    <r>
      <rPr>
        <sz val="12.0"/>
        <rFont val="Calibri"/>
        <family val="1"/>
      </rPr>
      <t xml:space="preserve"> Desatornillado y retirada de la tapa lateral siguiendo protocolos de descarga electrostática (uso de pulsera antiestática).</t>
    </r>
    <phoneticPr fontId="0" type="noConversion"/>
  </si>
  <si>
    <r>
      <rPr>
        <b/>
        <sz val="12.0"/>
        <rFont val="Calibri"/>
        <family val="1"/>
      </rPr>
      <t>Remoción de polvo interno:</t>
    </r>
    <r>
      <rPr>
        <sz val="12.0"/>
        <rFont val="Calibri"/>
        <family val="1"/>
      </rPr>
      <t xml:space="preserve"> Eliminación de polvo acumulado en la tarjeta madre, fuente de poder, ventiladores y disipadores mediante aire comprimido y brochas antiestáticas. </t>
    </r>
    <phoneticPr fontId="0" type="noConversion"/>
  </si>
  <si>
    <r>
      <rPr>
        <b/>
        <sz val="12.0"/>
        <rFont val="Calibri"/>
        <family val="1"/>
      </rPr>
      <t>Limpieza de ventiladores:</t>
    </r>
    <r>
      <rPr>
        <sz val="12.0"/>
        <rFont val="Calibri"/>
        <family val="1"/>
      </rPr>
      <t xml:space="preserve"> Bloqueo de aspas para evitar giros forzados y limpieza profunda de ejes y paletas; lubricación si presentan ruido o resistencia.</t>
    </r>
    <phoneticPr fontId="0" type="noConversion"/>
  </si>
  <si>
    <r>
      <rPr>
        <b/>
        <sz val="12.0"/>
        <rFont val="Calibri"/>
        <family val="1"/>
      </rPr>
      <t>Reasentamiento de componentes:</t>
    </r>
    <r>
      <rPr>
        <sz val="12.0"/>
        <rFont val="Calibri"/>
        <family val="1"/>
      </rPr>
      <t xml:space="preserve"> Extracción y reinserción de módulos de memoria RAM, tarjetas de expansión (GPU, sonido, red) y conectores de energía/datos para eliminar óxido o falsos contactos.</t>
    </r>
    <phoneticPr fontId="0" type="noConversion"/>
  </si>
  <si>
    <r>
      <rPr>
        <b/>
        <sz val="12.0"/>
        <rFont val="Calibri"/>
        <family val="1"/>
      </rPr>
      <t>Limpieza de contactos eléctricos:</t>
    </r>
    <r>
      <rPr>
        <sz val="12.0"/>
        <rFont val="Calibri"/>
        <family val="1"/>
      </rPr>
      <t xml:space="preserve"> Aplicación de alcohol isopropílico en pines de procesador, ranuras de expansión y conectores de discos duros.</t>
    </r>
    <phoneticPr fontId="0" type="noConversion"/>
  </si>
  <si>
    <r>
      <rPr>
        <b/>
        <sz val="12.0"/>
        <rFont val="Calibri"/>
        <family val="1"/>
      </rPr>
      <t>Mantenimiento térmico:</t>
    </r>
    <r>
      <rPr>
        <sz val="12.0"/>
        <rFont val="Calibri"/>
        <family val="1"/>
      </rPr>
      <t xml:space="preserve"> Retiro de pasta térmica seca del procesador (CPU) y GPU, limpieza de la superficie del disipador y aplicación de nueva pasta térmica.</t>
    </r>
    <phoneticPr fontId="0" type="noConversion"/>
  </si>
  <si>
    <r>
      <rPr>
        <b/>
        <sz val="12.0"/>
        <rFont val="Calibri"/>
        <family val="1"/>
      </rPr>
      <t>Revisión de cables internos:</t>
    </r>
    <r>
      <rPr>
        <sz val="12.0"/>
        <rFont val="Calibri"/>
        <family val="1"/>
      </rPr>
      <t xml:space="preserve"> Ordenamiento del cableado (cable management) para mejorar el flujo de aire y verificación de que no haya cables doblados o cerca de ventiladores.</t>
    </r>
    <phoneticPr fontId="0" type="noConversion"/>
  </si>
  <si>
    <r>
      <rPr>
        <b/>
        <sz val="12.0"/>
        <rFont val="Calibri"/>
        <family val="1"/>
      </rPr>
      <t>Limpieza de unidades de almacenamiento:</t>
    </r>
    <r>
      <rPr>
        <sz val="12.0"/>
        <rFont val="Calibri"/>
        <family val="1"/>
      </rPr>
      <t xml:space="preserve"> Retiro de polvo en discos duros mecánicos (HDD) y unidades de estado sólido (SSD), asegurando que estén firmemente atornillados para evitar vibraciones.</t>
    </r>
    <phoneticPr fontId="0" type="noConversion"/>
  </si>
  <si>
    <r>
      <rPr>
        <b/>
        <sz val="12.0"/>
        <rFont val="Calibri"/>
        <family val="1"/>
      </rPr>
      <t>Inspección de la fuente de poder:</t>
    </r>
    <r>
      <rPr>
        <sz val="12.0"/>
        <rFont val="Calibri"/>
        <family val="1"/>
      </rPr>
      <t xml:space="preserve"> Limpieza de rejillas de entrada/salida de aire y revisión visual de condensadores (buscando hinchazón o fugas).</t>
    </r>
    <phoneticPr fontId="0" type="noConversion"/>
  </si>
  <si>
    <r>
      <rPr>
        <b/>
        <sz val="12.0"/>
        <rFont val="Calibri"/>
        <family val="1"/>
      </rPr>
      <t>Cierre y prueba física: </t>
    </r>
    <r>
      <rPr>
        <sz val="12.0"/>
        <rFont val="Calibri"/>
        <family val="1"/>
      </rPr>
      <t xml:space="preserve">Colocación correcta de la tapa del gabinete, apriete de tornillos y verificación de que todos los periféricos estén conectados firmemente antes del encendido.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</si>
</sst>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@"/>
    <numFmt numFmtId="177" formatCode="yyyy-m-d;@"/>
    <numFmt numFmtId="178" formatCode="0%"/>
    <numFmt numFmtId="179" formatCode="_ &quot;￥&quot;* #,##0.00_ ;_ &quot;￥&quot;* \-#,##0.00_ ;_ &quot;￥&quot;* &quot;-&quot;??_ ;_ @_ "/>
    <numFmt numFmtId="180" formatCode="_ &quot;￥&quot;* #,##0_ ;_ &quot;￥&quot;* \-#,##0_ ;_ &quot;￥&quot;* &quot;-&quot;_ ;_ @_ "/>
    <numFmt numFmtId="181" formatCode="_ * #,##0.00_ ;_ * -#,##0.00_ ;_ * &quot;-&quot;??_ ;_ @_ "/>
    <numFmt numFmtId="182" formatCode="_ * #,##0_ ;_ * -#,##0_ ;_ * &quot;-&quot;_ ;_ @_ "/>
  </numFmts>
  <fonts count="44" x14ac:knownFonts="44">
    <font>
      <sz val="11.0"/>
      <name val="Calibri"/>
      <family val="1"/>
    </font>
    <font>
      <sz val="11.0"/>
      <name val="Calibri"/>
      <family val="1"/>
    </font>
    <font>
      <sz val="11.0"/>
      <color rgb="FF000000"/>
      <name val="Calibri"/>
      <family val="1"/>
    </font>
    <font>
      <sz val="11.0"/>
      <name val="Times New Roman"/>
      <family val="1"/>
    </font>
    <font>
      <sz val="11.0"/>
      <name val="Arial"/>
      <family val="2"/>
      <b/>
    </font>
    <font>
      <sz val="10.0"/>
      <name val="Arial"/>
      <family val="2"/>
    </font>
    <font>
      <sz val="18.0"/>
      <name val="Calibri"/>
      <family val="1"/>
    </font>
    <font>
      <sz val="10.0"/>
      <color rgb="FF0000CC"/>
      <name val="Arial"/>
      <family val="2"/>
    </font>
    <font>
      <sz val="10.0"/>
      <name val="Arial"/>
      <family val="2"/>
      <b/>
    </font>
    <font>
      <sz val="18.0"/>
      <color rgb="FFFFFFFF"/>
      <name val="Calibri"/>
      <family val="1"/>
      <b/>
    </font>
    <font>
      <sz val="11.0"/>
      <name val="Arial"/>
      <family val="2"/>
      <b/>
      <u val="single"/>
    </font>
    <font>
      <sz val="14.0"/>
      <color rgb="FFFFFFFF"/>
      <name val="Calibri"/>
      <family val="1"/>
      <b/>
    </font>
    <font>
      <sz val="14.0"/>
      <name val="Calibri"/>
      <family val="1"/>
      <b/>
    </font>
    <font>
      <sz val="11.0"/>
      <name val="Times New Roman"/>
      <family val="1"/>
    </font>
    <font>
      <sz val="11.0"/>
      <name val="Calibri"/>
      <family val="1"/>
      <u val="single"/>
    </font>
    <font>
      <sz val="8.0"/>
      <name val="Calibri"/>
      <family val="1"/>
    </font>
    <font>
      <sz val="10.0"/>
      <color rgb="FF212529"/>
      <name val="Segoe UI"/>
      <family val="1"/>
    </font>
    <font>
      <sz val="11.0"/>
      <color rgb="FF212529"/>
      <name val="Calibri"/>
      <family val="1"/>
    </font>
    <font>
      <sz val="14.0"/>
      <color rgb="FFFFFFFF"/>
      <name val="Calibri"/>
      <family val="1"/>
      <b/>
      <u val="single"/>
    </font>
    <font>
      <sz val="12.0"/>
      <name val="Calibri"/>
      <family val="1"/>
    </font>
    <font>
      <sz val="14.0"/>
      <name val="Calibri"/>
      <family val="1"/>
      <b/>
    </font>
    <font>
      <sz val="11.0"/>
      <name val="Calibri"/>
      <family val="1"/>
      <b/>
    </font>
    <font>
      <sz val="12.0"/>
      <name val="Arial"/>
      <family val="2"/>
      <b/>
    </font>
    <font>
      <sz val="24.0"/>
      <name val="Calibri"/>
      <family val="1"/>
      <b/>
    </font>
    <font>
      <sz val="11.0"/>
      <name val="Calibri"/>
      <family val="1"/>
      <u val="single"/>
    </font>
    <font>
      <sz val="11.0"/>
      <color rgb="FF9C0006"/>
      <name val="Calibri"/>
      <family val="1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F253F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FFFFFF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FFFFFF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1" applyFont="1" fillId="0" borderId="0" applyAlignment="1"/>
  </cellStyleXfs>
  <cellXfs count="195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center" vertical="center"/>
    </xf>
    <xf numFmtId="0" fontId="1" applyFont="1" fillId="0" borderId="0" applyAlignment="1" xfId="0">
      <alignment horizontal="center"/>
    </xf>
    <xf numFmtId="0" fontId="3" applyFont="1" fillId="0" borderId="0" applyAlignment="1" xfId="0"/>
    <xf numFmtId="0" fontId="4" applyFont="1" fillId="0" borderId="0" applyAlignment="1" xfId="0">
      <alignment vertical="center"/>
    </xf>
    <xf numFmtId="0" fontId="4" applyFont="1" fillId="0" borderId="0" applyAlignment="1" xfId="0">
      <alignment horizontal="right" vertical="center"/>
    </xf>
    <xf numFmtId="0" fontId="1" applyFont="1" fillId="2" applyFill="1" borderId="0" applyAlignment="1" xfId="0"/>
    <xf numFmtId="0" fontId="4" applyFont="1" fillId="2" applyFill="1" borderId="1" applyBorder="1" applyAlignment="1" xfId="0">
      <alignment horizontal="center"/>
    </xf>
    <xf numFmtId="0" fontId="5" applyFont="1" fillId="2" applyFill="1" borderId="2" applyBorder="1" applyAlignment="1" xfId="0">
      <alignment horizontal="center"/>
    </xf>
    <xf numFmtId="0" fontId="6" applyFont="1" fillId="0" borderId="0" applyAlignment="1" xfId="0"/>
    <xf numFmtId="0" fontId="2" applyFont="1" fillId="0" borderId="3" applyBorder="1" applyAlignment="1" xfId="0">
      <alignment horizontal="center" vertical="center"/>
    </xf>
    <xf numFmtId="0" fontId="2" applyFont="1" fillId="0" borderId="4" applyBorder="1" applyAlignment="1" xfId="0">
      <alignment horizontal="center" vertical="center"/>
    </xf>
    <xf numFmtId="0" fontId="2" applyFont="1" fillId="0" borderId="4" applyBorder="1" applyAlignment="1" applyProtection="1" xfId="0">
      <alignment horizontal="center" vertical="center"/>
      <protection locked="0"/>
    </xf>
    <xf numFmtId="0" fontId="2" applyFont="1" fillId="0" borderId="6" applyBorder="1" applyAlignment="1" applyProtection="1" xfId="0">
      <alignment horizontal="center" vertical="center"/>
      <protection locked="0"/>
    </xf>
    <xf numFmtId="0" fontId="2" applyFont="1" fillId="0" borderId="7" applyBorder="1" applyAlignment="1" applyProtection="1" xfId="0">
      <alignment horizontal="center" vertical="center"/>
      <protection locked="0"/>
    </xf>
    <xf numFmtId="0" fontId="5" applyFont="1" fillId="2" applyFill="1" borderId="8" applyBorder="1" applyAlignment="1" xfId="0">
      <alignment horizontal="center" wrapText="1"/>
    </xf>
    <xf numFmtId="0" fontId="7" applyFont="1" fillId="2" applyFill="1" borderId="9" applyBorder="1" applyAlignment="1" xfId="0">
      <alignment horizontal="center" vertical="center" wrapText="1"/>
    </xf>
    <xf numFmtId="0" fontId="8" applyFont="1" fillId="2" applyFill="1" borderId="10" applyBorder="1" applyAlignment="1" xfId="0">
      <alignment horizontal="center"/>
    </xf>
    <xf numFmtId="176" applyNumberFormat="1" fontId="5" applyFont="1" fillId="2" applyFill="1" borderId="11" applyBorder="1" applyAlignment="1" xfId="0">
      <alignment horizontal="center"/>
    </xf>
    <xf numFmtId="176" applyNumberFormat="1" fontId="5" applyFont="1" fillId="2" applyFill="1" borderId="12" applyBorder="1" applyAlignment="1" xfId="0">
      <alignment horizontal="center"/>
    </xf>
    <xf numFmtId="176" applyNumberFormat="1" fontId="7" applyFont="1" fillId="2" applyFill="1" borderId="13" applyBorder="1" applyAlignment="1" xfId="0">
      <alignment horizontal="center" vertical="center"/>
    </xf>
    <xf numFmtId="0" fontId="9" applyFont="1" fillId="3" applyFill="1" borderId="14" applyBorder="1" applyAlignment="1" xfId="0">
      <alignment horizontal="center" vertical="center"/>
    </xf>
    <xf numFmtId="0" fontId="9" applyFont="1" fillId="3" applyFill="1" borderId="15" applyBorder="1" applyAlignment="1" xfId="0">
      <alignment horizontal="center" vertical="center"/>
    </xf>
    <xf numFmtId="0" fontId="5" applyFont="1" fillId="2" applyFill="1" borderId="16" applyBorder="1" applyAlignment="1" xfId="0">
      <alignment horizontal="center" vertical="center" wrapText="1"/>
    </xf>
    <xf numFmtId="176" applyNumberFormat="1" fontId="5" applyFont="1" fillId="2" applyFill="1" borderId="17" applyBorder="1" applyAlignment="1" xfId="0">
      <alignment horizontal="center" vertical="center"/>
    </xf>
    <xf numFmtId="0" fontId="1" applyFont="1" fillId="0" borderId="18" applyBorder="1" applyAlignment="1" applyProtection="1" xfId="0">
      <alignment horizontal="center"/>
      <protection locked="0"/>
    </xf>
    <xf numFmtId="0" fontId="2" applyFont="1" fillId="0" borderId="19" applyBorder="1" applyAlignment="1" applyProtection="1" xfId="0">
      <alignment horizontal="center" vertical="center"/>
      <protection locked="0"/>
    </xf>
    <xf numFmtId="0" fontId="1" applyFont="1" fillId="0" borderId="20" applyBorder="1" applyAlignment="1" xfId="0"/>
    <xf numFmtId="0" fontId="10" applyFont="1" fillId="0" borderId="0" applyAlignment="1" xfId="0">
      <alignment vertical="center"/>
    </xf>
    <xf numFmtId="0" fontId="11" applyFont="1" fillId="3" applyFill="1" borderId="21" applyBorder="1" applyAlignment="1" xfId="0">
      <alignment horizontal="center" vertical="center" wrapText="1"/>
    </xf>
    <xf numFmtId="176" applyNumberFormat="1" fontId="12" applyFont="1" fillId="0" borderId="22" applyBorder="1" applyAlignment="1" xfId="0">
      <alignment horizontal="center" vertical="center" wrapText="1"/>
    </xf>
    <xf numFmtId="176" applyNumberFormat="1" fontId="11" applyFont="1" fillId="3" applyFill="1" borderId="23" applyBorder="1" applyAlignment="1" xfId="0">
      <alignment horizontal="center" vertical="center" wrapText="1"/>
    </xf>
    <xf numFmtId="176" applyNumberFormat="1" fontId="11" applyFont="1" fillId="3" applyFill="1" borderId="24" applyBorder="1" applyAlignment="1" xfId="0">
      <alignment horizontal="center" vertical="center" wrapText="1"/>
    </xf>
    <xf numFmtId="176" applyNumberFormat="1" fontId="11" applyFont="1" fillId="3" applyFill="1" borderId="25" applyBorder="1" applyAlignment="1" xfId="0">
      <alignment horizontal="center" vertical="center" wrapText="1"/>
    </xf>
    <xf numFmtId="176" applyNumberFormat="1" fontId="13" applyFont="1" fillId="0" borderId="26" applyBorder="1" applyAlignment="1" applyProtection="1" xfId="0">
      <alignment horizontal="center" vertical="center"/>
      <protection locked="0"/>
    </xf>
    <xf numFmtId="0" fontId="14" applyFont="1" fillId="0" borderId="0" applyAlignment="1" xfId="0"/>
    <xf numFmtId="0" fontId="15" applyFont="1" fillId="4" applyFill="1" borderId="0" applyAlignment="1" xfId="0">
      <alignment horizontal="right" vertical="center"/>
    </xf>
    <xf numFmtId="0" fontId="0" fillId="4" applyFill="1" borderId="0" applyAlignment="1" xfId="0">
      <alignment horizontal="left" vertical="center"/>
    </xf>
    <xf numFmtId="176" applyNumberFormat="1" fontId="11" applyFont="1" fillId="3" applyFill="1" borderId="27" applyBorder="1" applyAlignment="1" xfId="0">
      <alignment horizontal="center" vertical="center" wrapText="1"/>
    </xf>
    <xf numFmtId="176" applyNumberFormat="1" fontId="0" fillId="0" borderId="28" applyBorder="1" applyAlignment="1" applyProtection="1" xfId="0">
      <alignment horizontal="center" vertical="center"/>
      <protection locked="0"/>
    </xf>
    <xf numFmtId="176" applyNumberFormat="1" fontId="0" fillId="0" borderId="28" applyBorder="1" applyAlignment="1" xfId="0">
      <alignment horizontal="center" vertical="center"/>
    </xf>
    <xf numFmtId="0" fontId="0" fillId="0" borderId="30" applyBorder="1" applyAlignment="1" xfId="0">
      <alignment horizontal="center" vertical="center"/>
    </xf>
    <xf numFmtId="176" applyNumberFormat="1" fontId="16" applyFont="1" fillId="0" borderId="31" applyBorder="1" applyAlignment="1" xfId="0">
      <alignment horizontal="center" vertical="center"/>
    </xf>
    <xf numFmtId="176" applyNumberFormat="1" fontId="13" applyFont="1" fillId="0" borderId="32" applyBorder="1" applyAlignment="1" applyProtection="1" xfId="0">
      <alignment horizontal="center" vertical="center"/>
      <protection locked="0"/>
    </xf>
    <xf numFmtId="0" fontId="14" applyFont="1" fillId="0" borderId="33" applyBorder="1" applyAlignment="1" xfId="0">
      <alignment horizontal="center" vertical="center"/>
    </xf>
    <xf numFmtId="0" fontId="16" applyFont="1" fillId="0" borderId="0" applyAlignment="1" xfId="0">
      <alignment horizontal="center" vertical="center"/>
    </xf>
    <xf numFmtId="176" applyNumberFormat="1" fontId="0" fillId="0" borderId="34" applyBorder="1" applyAlignment="1" xfId="0">
      <alignment horizontal="center" vertical="center"/>
    </xf>
    <xf numFmtId="176" applyNumberFormat="1" fontId="0" fillId="0" borderId="35" applyBorder="1" applyAlignment="1" xfId="0">
      <alignment horizontal="center" vertical="center"/>
    </xf>
    <xf numFmtId="0" fontId="0" fillId="0" borderId="36" applyBorder="1" applyAlignment="1" xfId="0">
      <alignment horizontal="center" vertical="center"/>
    </xf>
    <xf numFmtId="0" fontId="17" applyFont="1" fillId="0" borderId="0" applyAlignment="1" xfId="0">
      <alignment horizontal="center" vertical="center"/>
    </xf>
    <xf numFmtId="176" applyNumberFormat="1" fontId="18" applyFont="1" fillId="3" applyFill="1" borderId="37" applyBorder="1" applyAlignment="1" xfId="0">
      <alignment horizontal="center" vertical="center" wrapText="1"/>
    </xf>
    <xf numFmtId="0" fontId="0" fillId="5" applyFill="1" borderId="0" applyAlignment="1" xfId="0"/>
    <xf numFmtId="0" fontId="10" applyFont="1" fillId="0" borderId="0" applyAlignment="1" xfId="0">
      <alignment horizontal="right" vertical="center"/>
    </xf>
    <xf numFmtId="0" fontId="0" fillId="6" applyFill="1" borderId="0" applyAlignment="1" xfId="0"/>
    <xf numFmtId="0" fontId="0" fillId="5" applyFill="1" borderId="38" applyBorder="1" applyAlignment="1" xfId="0">
      <alignment horizontal="center" vertical="center"/>
    </xf>
    <xf numFmtId="0" fontId="19" applyFont="1" fillId="0" borderId="39" applyBorder="1" applyAlignment="1" xfId="0">
      <alignment vertical="center" wrapText="1"/>
    </xf>
    <xf numFmtId="0" fontId="19" applyFont="1" fillId="0" borderId="40" applyBorder="1" applyAlignment="1" xfId="0">
      <alignment vertical="center" wrapText="1"/>
    </xf>
    <xf numFmtId="0" fontId="19" applyFont="1" fillId="0" borderId="41" applyBorder="1" applyAlignment="1" xfId="0">
      <alignment vertical="center" wrapText="1"/>
    </xf>
    <xf numFmtId="0" fontId="19" applyFont="1" fillId="0" borderId="42" applyBorder="1" applyAlignment="1" xfId="0">
      <alignment vertical="center" wrapText="1"/>
    </xf>
    <xf numFmtId="0" fontId="19" applyFont="1" fillId="0" borderId="43" applyBorder="1" applyAlignment="1" xfId="0">
      <alignment vertical="center" wrapText="1"/>
    </xf>
    <xf numFmtId="0" fontId="19" applyFont="1" fillId="0" borderId="44" applyBorder="1" applyAlignment="1" xfId="0">
      <alignment vertical="center" wrapText="1"/>
    </xf>
    <xf numFmtId="0" fontId="20" applyFont="1" fillId="0" borderId="0" applyAlignment="1" xfId="0">
      <alignment horizontal="left" vertical="center"/>
    </xf>
    <xf numFmtId="0" fontId="21" applyFont="1" fillId="0" borderId="0" applyAlignment="1" xfId="0">
      <alignment horizontal="center" vertical="center"/>
    </xf>
    <xf numFmtId="0" fontId="19" applyFont="1" fillId="0" borderId="45" applyBorder="1" applyAlignment="1" xfId="0">
      <alignment vertical="center" wrapText="1"/>
    </xf>
    <xf numFmtId="0" fontId="19" applyFont="1" fillId="0" borderId="46" applyBorder="1" applyAlignment="1" xfId="0">
      <alignment vertical="center" wrapText="1"/>
    </xf>
    <xf numFmtId="0" fontId="19" applyFont="1" fillId="0" borderId="47" applyBorder="1" applyAlignment="1" xfId="0">
      <alignment vertical="center" wrapText="1"/>
    </xf>
    <xf numFmtId="0" fontId="19" applyFont="1" fillId="0" borderId="48" applyBorder="1" applyAlignment="1" xfId="0">
      <alignment vertical="center" wrapText="1"/>
    </xf>
    <xf numFmtId="0" fontId="19" applyFont="1" fillId="0" borderId="49" applyBorder="1" applyAlignment="1" xfId="0">
      <alignment vertical="center" wrapText="1"/>
    </xf>
    <xf numFmtId="0" fontId="19" applyFont="1" fillId="0" borderId="50" applyBorder="1" applyAlignment="1" xfId="0">
      <alignment vertical="center" wrapText="1"/>
    </xf>
    <xf numFmtId="0" fontId="19" applyFont="1" fillId="0" borderId="51" applyBorder="1" applyAlignment="1" xfId="0">
      <alignment horizontal="left" vertical="center" wrapText="1"/>
    </xf>
    <xf numFmtId="0" fontId="19" applyFont="1" fillId="0" borderId="52" applyBorder="1" applyAlignment="1" xfId="0">
      <alignment horizontal="left" vertical="center" wrapText="1"/>
    </xf>
    <xf numFmtId="0" fontId="19" applyFont="1" fillId="0" borderId="53" applyBorder="1" applyAlignment="1" xfId="0">
      <alignment horizontal="left" vertical="center" wrapText="1"/>
    </xf>
    <xf numFmtId="0" fontId="19" applyFont="1" fillId="0" borderId="54" applyBorder="1" applyAlignment="1" xfId="0">
      <alignment vertical="center" wrapText="1"/>
    </xf>
    <xf numFmtId="0" fontId="19" applyFont="1" fillId="0" borderId="55" applyBorder="1" applyAlignment="1" xfId="0">
      <alignment vertical="center" wrapText="1"/>
    </xf>
    <xf numFmtId="0" fontId="22" applyFont="1" fillId="0" borderId="0" applyAlignment="1" xfId="0">
      <alignment horizontal="right" vertical="center" wrapText="1"/>
    </xf>
    <xf numFmtId="0" fontId="22" applyFont="1" fillId="0" borderId="0" applyAlignment="1" xfId="0">
      <alignment horizontal="right" vertical="center"/>
    </xf>
    <xf numFmtId="0" fontId="23" applyFont="1" fillId="0" borderId="0" applyAlignment="1" xfId="0">
      <alignment horizontal="center" vertical="center" wrapText="1"/>
    </xf>
    <xf numFmtId="0" fontId="9" applyFont="1" fillId="3" applyFill="1" borderId="56" applyBorder="1" applyAlignment="1" xfId="0">
      <alignment horizontal="center" vertical="center"/>
    </xf>
    <xf numFmtId="177" applyNumberFormat="1" fontId="1" applyFont="1" fillId="0" borderId="57" applyBorder="1" applyAlignment="1" applyProtection="1" xfId="0">
      <alignment horizontal="center"/>
      <protection locked="0"/>
    </xf>
    <xf numFmtId="0" fontId="1" applyFont="1" fillId="0" borderId="58" applyBorder="1" applyAlignment="1" applyProtection="1" xfId="0">
      <alignment horizontal="center"/>
      <protection locked="0"/>
    </xf>
    <xf numFmtId="0" fontId="9" applyFont="1" fillId="3" applyFill="1" borderId="59" applyBorder="1" applyAlignment="1" xfId="0">
      <alignment horizontal="center" vertical="center"/>
    </xf>
    <xf numFmtId="0" fontId="9" applyFont="1" fillId="3" applyFill="1" borderId="60" applyBorder="1" applyAlignment="1" xfId="0">
      <alignment horizontal="center" vertical="center"/>
    </xf>
    <xf numFmtId="0" fontId="9" applyFont="1" fillId="3" applyFill="1" borderId="0" applyAlignment="1" xfId="0">
      <alignment horizontal="center" vertical="center"/>
    </xf>
    <xf numFmtId="0" fontId="9" applyFont="1" fillId="3" applyFill="1" borderId="61" applyBorder="1" applyAlignment="1" xfId="0">
      <alignment horizontal="center" vertical="center"/>
    </xf>
    <xf numFmtId="0" fontId="7" applyFont="1" fillId="2" applyFill="1" borderId="62" applyBorder="1" applyAlignment="1" xfId="0">
      <alignment horizontal="left" wrapText="1"/>
    </xf>
    <xf numFmtId="0" fontId="7" applyFont="1" fillId="2" applyFill="1" borderId="63" applyBorder="1" applyAlignment="1" xfId="0">
      <alignment horizontal="left" wrapText="1"/>
    </xf>
    <xf numFmtId="0" fontId="21" applyFont="1" fillId="2" applyFill="1" borderId="64" applyBorder="1" applyAlignment="1" xfId="0">
      <alignment horizontal="center"/>
    </xf>
    <xf numFmtId="0" fontId="21" applyFont="1" fillId="2" applyFill="1" borderId="65" applyBorder="1" applyAlignment="1" xfId="0">
      <alignment horizontal="center"/>
    </xf>
    <xf numFmtId="0" fontId="21" applyFont="1" fillId="2" applyFill="1" borderId="66" applyBorder="1" applyAlignment="1" xfId="0">
      <alignment horizontal="center"/>
    </xf>
    <xf numFmtId="0" fontId="8" applyFont="1" fillId="2" applyFill="1" borderId="67" applyBorder="1" applyAlignment="1" xfId="0">
      <alignment horizontal="center"/>
    </xf>
    <xf numFmtId="0" fontId="5" applyFont="1" fillId="2" applyFill="1" borderId="68" applyBorder="1" applyAlignment="1" xfId="0">
      <alignment horizontal="left"/>
    </xf>
    <xf numFmtId="0" fontId="5" applyFont="1" fillId="2" applyFill="1" borderId="69" applyBorder="1" applyAlignment="1" xfId="0">
      <alignment horizontal="left"/>
    </xf>
    <xf numFmtId="0" fontId="5" applyFont="1" fillId="2" applyFill="1" borderId="70" applyBorder="1" applyAlignment="1" xfId="0">
      <alignment horizontal="left"/>
    </xf>
    <xf numFmtId="0" fontId="5" applyFont="1" fillId="2" applyFill="1" borderId="71" applyBorder="1" applyAlignment="1" xfId="0">
      <alignment horizontal="left"/>
    </xf>
    <xf numFmtId="0" fontId="5" applyFont="1" fillId="2" applyFill="1" borderId="72" applyBorder="1" applyAlignment="1" xfId="0">
      <alignment horizontal="left" wrapText="1"/>
    </xf>
    <xf numFmtId="0" fontId="5" applyFont="1" fillId="2" applyFill="1" borderId="73" applyBorder="1" applyAlignment="1" xfId="0">
      <alignment horizontal="left" wrapText="1"/>
    </xf>
    <xf numFmtId="0" fontId="1" applyFont="1" fillId="0" borderId="74" applyBorder="1" applyAlignment="1" applyProtection="1" xfId="0">
      <alignment horizontal="center" vertical="center"/>
      <protection locked="0"/>
    </xf>
    <xf numFmtId="0" fontId="24" applyFont="1" fillId="0" borderId="75" applyBorder="1" applyAlignment="1" applyProtection="1" xfId="0">
      <alignment horizontal="center" vertical="center"/>
      <protection locked="0"/>
    </xf>
    <xf numFmtId="0" fontId="1" applyFont="1" fillId="0" borderId="0" applyAlignment="1" xfId="0"/>
    <xf numFmtId="0" fontId="25" applyFont="1" fillId="7" applyFill="1" borderId="0" applyAlignment="1" xfId="0"/>
    <xf numFmtId="0" fontId="26" applyFont="1" fillId="8" applyFill="1" borderId="0" applyAlignment="1" xfId="0"/>
    <xf numFmtId="0" fontId="27" applyFont="1" fillId="9" applyFill="1" borderId="0" applyAlignment="1" xfId="0"/>
    <xf numFmtId="0" fontId="28" applyFont="1" fillId="10" applyFill="1" borderId="0" applyAlignment="1" xfId="0"/>
    <xf numFmtId="0" fontId="29" applyFont="1" fillId="11" applyFill="1" borderId="76" applyBorder="1" applyAlignment="1" xfId="0"/>
    <xf numFmtId="0" fontId="30" applyFont="1" fillId="12" applyFill="1" borderId="77" applyBorder="1" applyAlignment="1" xfId="0"/>
    <xf numFmtId="0" fontId="31" applyFont="1" fillId="0" borderId="0" applyAlignment="1" xfId="0"/>
    <xf numFmtId="0" fontId="32" applyFont="1" fillId="0" borderId="0" applyAlignment="1" xfId="0"/>
    <xf numFmtId="0" fontId="33" applyFont="1" fillId="0" borderId="78" applyBorder="1" applyAlignment="1" xfId="0"/>
    <xf numFmtId="0" fontId="34" applyFont="1" fillId="11" applyFill="1" borderId="79" applyBorder="1" applyAlignment="1" xfId="0"/>
    <xf numFmtId="0" fontId="35" applyFont="1" fillId="13" applyFill="1" borderId="80" applyBorder="1" applyAlignment="1" xfId="0"/>
    <xf numFmtId="0" fontId="1" applyFont="1" fillId="14" applyFill="1" borderId="81" applyBorder="1" applyAlignment="1" xfId="0"/>
    <xf numFmtId="0" fontId="36" applyFont="1" fillId="0" borderId="0" applyAlignment="1" xfId="0"/>
    <xf numFmtId="0" fontId="37" applyFont="1" fillId="0" borderId="82" applyBorder="1" applyAlignment="1" xfId="0"/>
    <xf numFmtId="0" fontId="38" applyFont="1" fillId="0" borderId="83" applyBorder="1" applyAlignment="1" xfId="0"/>
    <xf numFmtId="0" fontId="39" applyFont="1" fillId="0" borderId="84" applyBorder="1" applyAlignment="1" xfId="0"/>
    <xf numFmtId="0" fontId="39" applyFont="1" fillId="0" borderId="0" applyAlignment="1" xfId="0"/>
    <xf numFmtId="0" fontId="40" applyFont="1" fillId="0" borderId="85" applyBorder="1" applyAlignment="1" xfId="0"/>
    <xf numFmtId="0" fontId="41" applyFont="1" fillId="15" applyFill="1" borderId="0" applyAlignment="1" xfId="0"/>
    <xf numFmtId="0" fontId="41" applyFont="1" fillId="16" applyFill="1" borderId="0" applyAlignment="1" xfId="0"/>
    <xf numFmtId="0" fontId="41" applyFont="1" fillId="17" applyFill="1" borderId="0" applyAlignment="1" xfId="0"/>
    <xf numFmtId="0" fontId="41" applyFont="1" fillId="18" applyFill="1" borderId="0" applyAlignment="1" xfId="0"/>
    <xf numFmtId="0" fontId="41" applyFont="1" fillId="19" applyFill="1" borderId="0" applyAlignment="1" xfId="0"/>
    <xf numFmtId="0" fontId="41" applyFont="1" fillId="20" applyFill="1" borderId="0" applyAlignment="1" xfId="0"/>
    <xf numFmtId="0" fontId="41" applyFont="1" fillId="21" applyFill="1" borderId="0" applyAlignment="1" xfId="0"/>
    <xf numFmtId="0" fontId="41" applyFont="1" fillId="22" applyFill="1" borderId="0" applyAlignment="1" xfId="0"/>
    <xf numFmtId="0" fontId="41" applyFont="1" fillId="23" applyFill="1" borderId="0" applyAlignment="1" xfId="0"/>
    <xf numFmtId="0" fontId="41" applyFont="1" fillId="24" applyFill="1" borderId="0" applyAlignment="1" xfId="0"/>
    <xf numFmtId="0" fontId="41" applyFont="1" fillId="25" applyFill="1" borderId="0" applyAlignment="1" xfId="0"/>
    <xf numFmtId="0" fontId="41" applyFont="1" fillId="26" applyFill="1" borderId="0" applyAlignment="1" xfId="0"/>
    <xf numFmtId="0" fontId="42" applyFont="1" fillId="27" applyFill="1" borderId="0" applyAlignment="1" xfId="0"/>
    <xf numFmtId="0" fontId="42" applyFont="1" fillId="28" applyFill="1" borderId="0" applyAlignment="1" xfId="0"/>
    <xf numFmtId="0" fontId="42" applyFont="1" fillId="29" applyFill="1" borderId="0" applyAlignment="1" xfId="0"/>
    <xf numFmtId="0" fontId="42" applyFont="1" fillId="30" applyFill="1" borderId="0" applyAlignment="1" xfId="0"/>
    <xf numFmtId="0" fontId="42" applyFont="1" fillId="31" applyFill="1" borderId="0" applyAlignment="1" xfId="0"/>
    <xf numFmtId="0" fontId="42" applyFont="1" fillId="32" applyFill="1" borderId="0" applyAlignment="1" xfId="0"/>
    <xf numFmtId="0" fontId="42" applyFont="1" fillId="33" applyFill="1" borderId="0" applyAlignment="1" xfId="0"/>
    <xf numFmtId="0" fontId="42" applyFont="1" fillId="34" applyFill="1" borderId="0" applyAlignment="1" xfId="0"/>
    <xf numFmtId="0" fontId="42" applyFont="1" fillId="35" applyFill="1" borderId="0" applyAlignment="1" xfId="0"/>
    <xf numFmtId="0" fontId="42" applyFont="1" fillId="36" applyFill="1" borderId="0" applyAlignment="1" xfId="0"/>
    <xf numFmtId="0" fontId="42" applyFont="1" fillId="37" applyFill="1" borderId="0" applyAlignment="1" xfId="0"/>
    <xf numFmtId="0" fontId="42" applyFont="1" fillId="38" applyFill="1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181" applyNumberFormat="1" fontId="1" applyFont="1" fillId="0" borderId="0" applyAlignment="1" xfId="0"/>
    <xf numFmtId="182" applyNumberFormat="1" fontId="1" applyFont="1" fillId="0" borderId="0" applyAlignment="1" xfId="0"/>
    <xf numFmtId="0" fontId="1" applyFont="1" fillId="0" borderId="0" applyAlignment="1" xfId="0"/>
    <xf numFmtId="0" fontId="1" applyFont="1" fillId="0" borderId="0" applyAlignment="1" xfId="0"/>
    <xf numFmtId="0" fontId="19" applyFont="1" fillId="0" borderId="86" applyBorder="1" applyAlignment="1" xfId="0">
      <alignment horizontal="left" vertical="center" wrapText="1"/>
    </xf>
    <xf numFmtId="0" fontId="19" applyFont="1" fillId="0" borderId="87" applyBorder="1" applyAlignment="1" xfId="0">
      <alignment horizontal="left" vertical="center" wrapText="1"/>
    </xf>
    <xf numFmtId="0" fontId="19" applyFont="1" fillId="0" borderId="88" applyBorder="1" applyAlignment="1" xfId="0">
      <alignment horizontal="left" vertical="center" wrapText="1"/>
    </xf>
    <xf numFmtId="0" fontId="19" applyFont="1" fillId="0" borderId="89" applyBorder="1" applyAlignment="1" xfId="0">
      <alignment vertical="center" wrapText="1"/>
    </xf>
    <xf numFmtId="0" fontId="19" applyFont="1" fillId="0" borderId="90" applyBorder="1" applyAlignment="1" xfId="0">
      <alignment vertical="center" wrapText="1"/>
    </xf>
    <xf numFmtId="0" fontId="19" applyFont="1" fillId="0" borderId="91" applyBorder="1" applyAlignment="1" xfId="0">
      <alignment vertical="center" wrapText="1"/>
    </xf>
    <xf numFmtId="0" fontId="19" applyFont="1" fillId="0" borderId="92" applyBorder="1" applyAlignment="1" xfId="0">
      <alignment vertical="center" wrapText="1"/>
    </xf>
    <xf numFmtId="0" fontId="19" applyFont="1" fillId="0" borderId="93" applyBorder="1" applyAlignment="1" xfId="0">
      <alignment vertical="center" wrapText="1"/>
    </xf>
    <xf numFmtId="0" fontId="19" applyFont="1" fillId="0" borderId="94" applyBorder="1" applyAlignment="1" xfId="0">
      <alignment vertical="center" wrapText="1"/>
    </xf>
    <xf numFmtId="0" fontId="19" applyFont="1" fillId="0" borderId="95" applyBorder="1" applyAlignment="1" xfId="0">
      <alignment vertical="center" wrapText="1"/>
    </xf>
    <xf numFmtId="0" fontId="19" applyFont="1" fillId="0" borderId="96" applyBorder="1" applyAlignment="1" xfId="0">
      <alignment vertical="center" wrapText="1"/>
    </xf>
    <xf numFmtId="0" fontId="22" applyFont="1" fillId="0" borderId="0" applyAlignment="1" xfId="0">
      <alignment horizontal="right" vertical="center"/>
    </xf>
    <xf numFmtId="0" fontId="22" applyFont="1" fillId="0" borderId="0" applyAlignment="1" xfId="0">
      <alignment horizontal="right" vertical="center" wrapText="1"/>
    </xf>
    <xf numFmtId="0" fontId="23" applyFont="1" fillId="0" borderId="0" applyAlignment="1" xfId="0">
      <alignment horizontal="center" vertical="center" wrapText="1"/>
    </xf>
    <xf numFmtId="0" fontId="9" applyFont="1" fillId="3" applyFill="1" borderId="97" applyBorder="1" applyAlignment="1" xfId="0">
      <alignment horizontal="center" vertical="center"/>
    </xf>
    <xf numFmtId="0" fontId="9" applyFont="1" fillId="3" applyFill="1" borderId="98" applyBorder="1" applyAlignment="1" xfId="0">
      <alignment horizontal="center" vertical="center"/>
    </xf>
    <xf numFmtId="0" fontId="1" applyFont="1" fillId="0" borderId="99" applyBorder="1" applyAlignment="1" applyProtection="1" xfId="0">
      <alignment horizontal="center"/>
      <protection locked="0"/>
    </xf>
    <xf numFmtId="177" applyNumberFormat="1" fontId="1" applyFont="1" fillId="0" borderId="100" applyBorder="1" applyAlignment="1" applyProtection="1" xfId="0">
      <alignment horizontal="center"/>
      <protection locked="0"/>
    </xf>
    <xf numFmtId="0" fontId="1" applyFont="1" fillId="0" borderId="101" applyBorder="1" applyAlignment="1" applyProtection="1" xfId="0">
      <alignment horizontal="center"/>
      <protection locked="0"/>
    </xf>
    <xf numFmtId="0" fontId="9" applyFont="1" fillId="3" applyFill="1" borderId="102" applyBorder="1" applyAlignment="1" xfId="0">
      <alignment horizontal="center" vertical="center"/>
    </xf>
    <xf numFmtId="0" fontId="9" applyFont="1" fillId="3" applyFill="1" borderId="0" applyAlignment="1" xfId="0">
      <alignment horizontal="center" vertical="center"/>
    </xf>
    <xf numFmtId="0" fontId="9" applyFont="1" fillId="3" applyFill="1" borderId="103" applyBorder="1" applyAlignment="1" xfId="0">
      <alignment horizontal="center" vertical="center"/>
    </xf>
    <xf numFmtId="0" fontId="9" applyFont="1" fillId="3" applyFill="1" borderId="104" applyBorder="1" applyAlignment="1" xfId="0">
      <alignment horizontal="center" vertical="center"/>
    </xf>
    <xf numFmtId="0" fontId="19" applyFont="1" fillId="0" borderId="105" applyBorder="1" applyAlignment="1" xfId="0">
      <alignment vertical="center" wrapText="1"/>
    </xf>
    <xf numFmtId="0" fontId="19" applyFont="1" fillId="0" borderId="106" applyBorder="1" applyAlignment="1" xfId="0">
      <alignment vertical="center" wrapText="1"/>
    </xf>
    <xf numFmtId="0" fontId="19" applyFont="1" fillId="0" borderId="107" applyBorder="1" applyAlignment="1" xfId="0">
      <alignment vertical="center" wrapText="1"/>
    </xf>
    <xf numFmtId="0" fontId="20" applyFont="1" fillId="0" borderId="0" applyAlignment="1" xfId="0">
      <alignment horizontal="left" vertical="center"/>
    </xf>
    <xf numFmtId="0" fontId="21" applyFont="1" fillId="0" borderId="0" applyAlignment="1" xfId="0">
      <alignment horizontal="center" vertical="center"/>
    </xf>
    <xf numFmtId="0" fontId="19" applyFont="1" fillId="0" borderId="108" applyBorder="1" applyAlignment="1" xfId="0">
      <alignment vertical="center" wrapText="1"/>
    </xf>
    <xf numFmtId="0" fontId="19" applyFont="1" fillId="0" borderId="109" applyBorder="1" applyAlignment="1" xfId="0">
      <alignment vertical="center" wrapText="1"/>
    </xf>
    <xf numFmtId="0" fontId="19" applyFont="1" fillId="0" borderId="110" applyBorder="1" applyAlignment="1" xfId="0">
      <alignment vertical="center" wrapText="1"/>
    </xf>
    <xf numFmtId="0" fontId="7" applyFont="1" fillId="2" applyFill="1" borderId="111" applyBorder="1" applyAlignment="1" xfId="0">
      <alignment horizontal="left" wrapText="1"/>
    </xf>
    <xf numFmtId="0" fontId="7" applyFont="1" fillId="2" applyFill="1" borderId="112" applyBorder="1" applyAlignment="1" xfId="0">
      <alignment horizontal="left" wrapText="1"/>
    </xf>
    <xf numFmtId="0" fontId="21" applyFont="1" fillId="2" applyFill="1" borderId="113" applyBorder="1" applyAlignment="1" xfId="0">
      <alignment horizontal="center"/>
    </xf>
    <xf numFmtId="0" fontId="21" applyFont="1" fillId="2" applyFill="1" borderId="114" applyBorder="1" applyAlignment="1" xfId="0">
      <alignment horizontal="center"/>
    </xf>
    <xf numFmtId="0" fontId="21" applyFont="1" fillId="2" applyFill="1" borderId="115" applyBorder="1" applyAlignment="1" xfId="0">
      <alignment horizontal="center"/>
    </xf>
    <xf numFmtId="0" fontId="8" applyFont="1" fillId="2" applyFill="1" borderId="116" applyBorder="1" applyAlignment="1" xfId="0">
      <alignment horizontal="center"/>
    </xf>
    <xf numFmtId="0" fontId="5" applyFont="1" fillId="2" applyFill="1" borderId="117" applyBorder="1" applyAlignment="1" xfId="0">
      <alignment horizontal="left"/>
    </xf>
    <xf numFmtId="0" fontId="5" applyFont="1" fillId="2" applyFill="1" borderId="118" applyBorder="1" applyAlignment="1" xfId="0">
      <alignment horizontal="left"/>
    </xf>
    <xf numFmtId="0" fontId="5" applyFont="1" fillId="2" applyFill="1" borderId="119" applyBorder="1" applyAlignment="1" xfId="0">
      <alignment horizontal="left"/>
    </xf>
    <xf numFmtId="0" fontId="5" applyFont="1" fillId="2" applyFill="1" borderId="120" applyBorder="1" applyAlignment="1" xfId="0">
      <alignment horizontal="left"/>
    </xf>
    <xf numFmtId="0" fontId="5" applyFont="1" fillId="2" applyFill="1" borderId="121" applyBorder="1" applyAlignment="1" xfId="0">
      <alignment horizontal="left" wrapText="1"/>
    </xf>
    <xf numFmtId="0" fontId="5" applyFont="1" fillId="2" applyFill="1" borderId="122" applyBorder="1" applyAlignment="1" xfId="0">
      <alignment horizontal="left" wrapText="1"/>
    </xf>
    <xf numFmtId="0" fontId="24" applyFont="1" fillId="0" borderId="123" applyBorder="1" applyAlignment="1" applyProtection="1" xfId="0">
      <alignment horizontal="center" vertical="center"/>
      <protection locked="0"/>
    </xf>
    <xf numFmtId="0" fontId="1" applyFont="1" fillId="0" borderId="124" applyBorder="1" applyAlignment="1" applyProtection="1" xfId="0">
      <alignment horizontal="center" vertical="center"/>
      <protection locked="0"/>
    </xf>
    <xf numFmtId="0" fontId="0" fillId="0" borderId="0" applyAlignment="1" xfId="0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179916</xdr:colOff>
      <xdr:row>0</xdr:row>
      <xdr:rowOff>125941</xdr:rowOff>
    </xdr:from>
    <xdr:to>
      <xdr:col>1</xdr:col>
      <xdr:colOff>831026</xdr:colOff>
      <xdr:row>4</xdr:row>
      <xdr:rowOff>686</xdr:rowOff>
    </xdr:to>
    <xdr:pic>
      <xdr:nvPicPr>
        <xdr:cNvPr id="2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179916" y="125941"/>
          <a:ext cx="2927550" cy="82722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66673</xdr:colOff>
      <xdr:row>0</xdr:row>
      <xdr:rowOff>19049</xdr:rowOff>
    </xdr:from>
    <xdr:to>
      <xdr:col>12</xdr:col>
      <xdr:colOff>323845</xdr:colOff>
      <xdr:row>121</xdr:row>
      <xdr:rowOff>66673</xdr:rowOff>
    </xdr:to>
    <xdr:sp>
      <xdr:nvSpPr>
        <xdr:cNvPr id="2" name=""/>
        <xdr:cNvSpPr>
          <a:spLocks/>
        </xdr:cNvSpPr>
      </xdr:nvSpPr>
      <xdr:spPr>
        <a:xfrm rot="0">
          <a:off x="20040294" y="19049"/>
          <a:ext cx="1628750" cy="266695"/>
        </a:xfrm>
        <a:prstGeom prst="rect"/>
        <a:solidFill>
          <a:srgbClr val="FFFFFF"/>
        </a:solidFill>
        <a:ln w="12700" cmpd="sng" cap="flat">
          <a:solidFill>
            <a:srgbClr val="000000"/>
          </a:solidFill>
          <a:prstDash val="solid"/>
          <a:miter/>
        </a:ln>
      </xdr:spPr>
      <xdr:txBody>
        <a:bodyPr vertOverflow="clip" horzOverflow="clip" vert="horz" wrap="square" lIns="0" tIns="0" rIns="0" bIns="0" anchor="ctr" anchorCtr="0">
          <a:prstTxWarp prst="textNoShape"/>
        </a:bodyPr>
        <a:lstStyle/>
        <a:p>
          <a:pPr defTabSz="266700" hangingPunct="0"/>
          <a:r>
            <a:rPr lang="en-US" altLang="zh-CN" sz="1100" b="0" i="0" strike="noStrike">
              <a:solidFill>
                <a:srgbClr val="000000"/>
              </a:solidFill>
              <a:latin typeface="Calibri"/>
              <a:ea typeface="Droid Sans Fallback"/>
            </a:rPr>
            <a:t>GUARDAR E IMPRIMIR FORATOS</a:t>
          </a:r>
          <a:endParaRPr lang="en-US" altLang="zh-CN" sz="1100" b="0" i="0" strike="noStrike">
            <a:solidFill>
              <a:srgbClr val="000000"/>
            </a:solidFill>
            <a:latin typeface="Calibri"/>
            <a:ea typeface="Droid Sans Fallback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179916</xdr:colOff>
      <xdr:row>0</xdr:row>
      <xdr:rowOff>125941</xdr:rowOff>
    </xdr:from>
    <xdr:to>
      <xdr:col>1</xdr:col>
      <xdr:colOff>831026</xdr:colOff>
      <xdr:row>3</xdr:row>
      <xdr:rowOff>236009</xdr:rowOff>
    </xdr:to>
    <xdr:pic>
      <xdr:nvPicPr>
        <xdr:cNvPr id="2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179916" y="125941"/>
          <a:ext cx="2927550" cy="824431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179916</xdr:colOff>
      <xdr:row>0</xdr:row>
      <xdr:rowOff>125941</xdr:rowOff>
    </xdr:from>
    <xdr:to>
      <xdr:col>1</xdr:col>
      <xdr:colOff>831026</xdr:colOff>
      <xdr:row>3</xdr:row>
      <xdr:rowOff>236009</xdr:rowOff>
    </xdr:to>
    <xdr:pic>
      <xdr:nvPicPr>
        <xdr:cNvPr id="2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179916" y="125941"/>
          <a:ext cx="2927550" cy="824431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  <pageSetUpPr fitToPage="1"/>
  </sheetPr>
  <dimension ref="A1:K30"/>
  <sheetViews>
    <sheetView showGridLines="0" zoomScale="85" zoomScaleNormal="85" topLeftCell="A1" workbookViewId="0">
      <selection activeCell="C8" activeCellId="0" sqref="C8:D8"/>
    </sheetView>
  </sheetViews>
  <sheetFormatPr defaultRowHeight="18.75" customHeight="1" defaultColWidth="29.75" x14ac:dyDescent="0.15"/>
  <cols>
    <col min="1" max="1" width="29.875" customWidth="1" style="3"/>
    <col min="2" max="2" width="38.375" customWidth="1"/>
    <col min="3" max="4" width="29.875" customWidth="1" style="3"/>
    <col min="5" max="8" width="29.75"/>
  </cols>
  <sheetData>
    <row r="1" spans="1:11" ht="18.75" customHeight="1" x14ac:dyDescent="0.15">
      <c r="B1" s="162" t="s">
        <v>0</v>
      </c>
      <c r="C1" s="162"/>
      <c r="D1" s="162"/>
      <c r="E1" s="162"/>
      <c r="F1" s="161" t="s">
        <v>1</v>
      </c>
      <c r="G1" s="5"/>
      <c r="H1" s="5"/>
      <c r="I1" s="5"/>
      <c r="J1" s="5"/>
      <c r="K1" s="5"/>
    </row>
    <row r="2" spans="1:11" ht="18.75" customHeight="1" x14ac:dyDescent="0.15">
      <c r="B2" s="162"/>
      <c r="C2" s="162"/>
      <c r="D2" s="162"/>
      <c r="E2" s="162"/>
      <c r="F2" s="160"/>
      <c r="G2" s="5"/>
      <c r="H2" s="5"/>
      <c r="I2" s="5"/>
      <c r="J2" s="5"/>
      <c r="K2" s="5"/>
    </row>
    <row r="3" spans="1:11" ht="18.75" customHeight="1" x14ac:dyDescent="0.15">
      <c r="B3" s="162"/>
      <c r="C3" s="162"/>
      <c r="D3" s="162"/>
      <c r="E3" s="162"/>
      <c r="F3" s="160"/>
      <c r="G3" s="5"/>
      <c r="H3" s="5"/>
      <c r="I3" s="5"/>
      <c r="J3" s="5"/>
      <c r="K3" s="5"/>
    </row>
    <row r="4" spans="1:11" ht="18.75" customHeight="1" x14ac:dyDescent="0.15">
      <c r="B4" s="162"/>
      <c r="C4" s="162"/>
      <c r="D4" s="162"/>
      <c r="E4" s="162"/>
      <c r="F4" s="160"/>
      <c r="G4" s="5"/>
      <c r="H4" s="5"/>
      <c r="I4" s="5"/>
      <c r="J4" s="5"/>
      <c r="K4" s="5"/>
    </row>
    <row r="5" spans="1:11" ht="18.75" customHeight="1" x14ac:dyDescent="0.15">
      <c r="B5" s="162"/>
      <c r="C5" s="162"/>
      <c r="D5" s="162"/>
      <c r="E5" s="162"/>
      <c r="F5" s="6" t="s">
        <v>2</v>
      </c>
      <c r="G5" s="5"/>
      <c r="H5" s="5"/>
      <c r="I5" s="5"/>
      <c r="J5" s="5"/>
      <c r="K5" s="5"/>
    </row>
    <row r="6" spans="1:11" ht="18.75" customHeight="1" x14ac:dyDescent="0.15">
      <c r="F6" s="6"/>
      <c r="G6" s="5"/>
      <c r="H6" s="5"/>
      <c r="I6" s="5"/>
      <c r="J6" s="5"/>
      <c r="K6" s="5"/>
    </row>
    <row r="7" spans="1:11" ht="35.25" customHeight="1" x14ac:dyDescent="0.15">
      <c r="A7" s="175" t="s">
        <v>3</v>
      </c>
      <c r="B7" s="175"/>
      <c r="C7" s="166">
        <v>46182.0</v>
      </c>
      <c r="D7" s="165"/>
      <c r="G7" s="5"/>
      <c r="H7" s="5"/>
      <c r="I7" s="5"/>
      <c r="J7" s="5"/>
      <c r="K7" s="5"/>
    </row>
    <row r="8" spans="1:11" ht="35.25" customHeight="1" x14ac:dyDescent="0.15">
      <c r="A8" s="175" t="s">
        <v>4</v>
      </c>
      <c r="B8" s="175"/>
      <c r="C8" s="165"/>
      <c r="D8" s="165"/>
      <c r="G8" s="5"/>
      <c r="H8" s="5"/>
      <c r="I8" s="5"/>
      <c r="J8" s="5"/>
      <c r="K8" s="5"/>
    </row>
    <row r="9" spans="1:11" ht="35.25" customHeight="1" x14ac:dyDescent="0.15">
      <c r="A9" s="175" t="s">
        <v>5</v>
      </c>
      <c r="B9" s="175"/>
      <c r="C9" s="167"/>
      <c r="D9" s="167"/>
      <c r="E9" s="36"/>
      <c r="G9" s="5"/>
      <c r="H9" s="5"/>
      <c r="I9" s="5"/>
      <c r="J9" s="5"/>
      <c r="K9" s="5"/>
    </row>
    <row r="10" spans="1:11" ht="35.25" customHeight="1" x14ac:dyDescent="0.15">
      <c r="A10" s="175" t="s">
        <v>6</v>
      </c>
      <c r="B10" s="175"/>
      <c r="C10" s="165"/>
      <c r="D10" s="165"/>
      <c r="G10" s="5"/>
      <c r="H10" s="5"/>
      <c r="I10" s="5"/>
      <c r="J10" s="5"/>
      <c r="K10" s="5"/>
    </row>
    <row r="11" spans="1:11" ht="35.25" customHeight="1" x14ac:dyDescent="0.15">
      <c r="A11" s="175" t="s">
        <v>7</v>
      </c>
      <c r="B11" s="175"/>
      <c r="C11" s="166">
        <f>C7</f>
        <v>46182</v>
      </c>
      <c r="D11" s="165"/>
      <c r="G11" s="5"/>
      <c r="H11" s="5"/>
      <c r="I11" s="5"/>
      <c r="J11" s="5"/>
      <c r="K11" s="5"/>
    </row>
    <row r="12" spans="1:11" ht="35.25" customHeight="1" x14ac:dyDescent="0.15">
      <c r="A12" s="175" t="s">
        <v>8</v>
      </c>
      <c r="B12" s="175"/>
      <c r="C12" s="165" t="s">
        <v>9</v>
      </c>
      <c r="D12" s="165"/>
      <c r="G12" s="5"/>
      <c r="H12" s="5"/>
      <c r="I12" s="5"/>
      <c r="J12" s="5"/>
      <c r="K12" s="5"/>
    </row>
    <row r="13" spans="1:11" ht="35.25" customHeight="1" x14ac:dyDescent="0.15">
      <c r="A13" s="175" t="s">
        <v>10</v>
      </c>
      <c r="B13" s="175"/>
      <c r="C13" s="165"/>
      <c r="D13" s="165"/>
      <c r="G13" s="5"/>
      <c r="H13" s="5"/>
      <c r="I13" s="5"/>
      <c r="J13" s="5"/>
      <c r="K13" s="5"/>
    </row>
    <row r="14" spans="1:11" ht="20.25" customHeight="1" x14ac:dyDescent="0.15">
      <c r="A14" s="176"/>
      <c r="B14" s="176"/>
      <c r="G14" s="29"/>
      <c r="H14" s="5"/>
      <c r="I14" s="5"/>
      <c r="J14" s="5"/>
      <c r="K14" s="5"/>
    </row>
    <row r="15" spans="1:1" ht="20.25" customHeight="1" x14ac:dyDescent="0.15"/>
    <row r="16" spans="1:6" s="10" customFormat="1" ht="23.25" customHeight="1" x14ac:dyDescent="0.15">
      <c r="A16" s="164" t="s">
        <v>11</v>
      </c>
      <c r="B16" s="163"/>
      <c r="C16" s="171" t="s">
        <v>12</v>
      </c>
      <c r="D16" s="171"/>
      <c r="E16" s="171"/>
      <c r="F16" s="170"/>
    </row>
    <row r="17" spans="1:11" ht="36.0" customHeight="1" x14ac:dyDescent="0.15">
      <c r="A17" s="23" t="s">
        <v>13</v>
      </c>
      <c r="B17" s="22" t="s">
        <v>14</v>
      </c>
      <c r="C17" s="169"/>
      <c r="D17" s="169"/>
      <c r="E17" s="169"/>
      <c r="F17" s="168"/>
      <c r="K17" s="36"/>
    </row>
    <row r="18" spans="1:7" ht="36.0" customHeight="1" x14ac:dyDescent="0.15">
      <c r="A18" s="11"/>
      <c r="B18" s="14"/>
      <c r="C18" s="151" t="s">
        <v>15</v>
      </c>
      <c r="D18" s="150"/>
      <c r="E18" s="150"/>
      <c r="F18" s="149"/>
      <c r="G18" s="28"/>
    </row>
    <row r="19" spans="1:7" ht="36.0" customHeight="1" x14ac:dyDescent="0.15">
      <c r="A19" s="12"/>
      <c r="B19" s="15"/>
      <c r="C19" s="154" t="s">
        <v>16</v>
      </c>
      <c r="D19" s="153"/>
      <c r="E19" s="153"/>
      <c r="F19" s="152"/>
      <c r="G19" s="28"/>
    </row>
    <row r="20" spans="1:6" ht="36.0" customHeight="1" x14ac:dyDescent="0.15">
      <c r="A20" s="12"/>
      <c r="B20" s="15"/>
      <c r="C20" s="156" t="s">
        <v>17</v>
      </c>
      <c r="D20" s="153"/>
      <c r="E20" s="153"/>
      <c r="F20" s="155"/>
    </row>
    <row r="21" spans="1:7" ht="36.0" customHeight="1" x14ac:dyDescent="0.15">
      <c r="A21" s="12"/>
      <c r="B21" s="15"/>
      <c r="C21" s="159" t="s">
        <v>18</v>
      </c>
      <c r="D21" s="158"/>
      <c r="E21" s="158"/>
      <c r="F21" s="157"/>
      <c r="G21" s="28"/>
    </row>
    <row r="22" spans="1:6" ht="36.0" customHeight="1" x14ac:dyDescent="0.15">
      <c r="A22" s="13"/>
      <c r="B22" s="27"/>
      <c r="C22" s="159" t="s">
        <v>19</v>
      </c>
      <c r="D22" s="158"/>
      <c r="E22" s="158"/>
      <c r="F22" s="157"/>
    </row>
    <row r="23" spans="1:6" ht="36.0" customHeight="1" x14ac:dyDescent="0.15">
      <c r="A23" s="13"/>
      <c r="B23" s="27"/>
      <c r="C23" s="156" t="s">
        <v>20</v>
      </c>
      <c r="D23" s="153"/>
      <c r="E23" s="153"/>
      <c r="F23" s="155"/>
    </row>
    <row r="24" spans="1:6" ht="36.0" customHeight="1" x14ac:dyDescent="0.15">
      <c r="A24" s="13"/>
      <c r="B24" s="27"/>
      <c r="C24" s="159" t="s">
        <v>21</v>
      </c>
      <c r="D24" s="158"/>
      <c r="E24" s="158"/>
      <c r="F24" s="157"/>
    </row>
    <row r="25" spans="1:6" ht="36.0" customHeight="1" x14ac:dyDescent="0.15">
      <c r="A25" s="13"/>
      <c r="B25" s="27"/>
      <c r="C25" s="179" t="s">
        <v>22</v>
      </c>
      <c r="D25" s="178"/>
      <c r="E25" s="178"/>
      <c r="F25" s="177"/>
    </row>
    <row r="26" spans="1:6" ht="36.0" customHeight="1" x14ac:dyDescent="0.15">
      <c r="A26" s="13"/>
      <c r="B26" s="27"/>
      <c r="C26" s="156" t="s">
        <v>23</v>
      </c>
      <c r="D26" s="153"/>
      <c r="E26" s="153"/>
      <c r="F26" s="155"/>
    </row>
    <row r="27" spans="1:6" ht="36.0" customHeight="1" x14ac:dyDescent="0.15">
      <c r="A27" s="13"/>
      <c r="B27" s="27"/>
      <c r="C27" s="159" t="s">
        <v>24</v>
      </c>
      <c r="D27" s="158"/>
      <c r="E27" s="158"/>
      <c r="F27" s="157"/>
    </row>
    <row r="28" spans="1:6" ht="36.0" customHeight="1" x14ac:dyDescent="0.15">
      <c r="A28" s="13"/>
      <c r="B28" s="27"/>
      <c r="C28" s="174" t="s">
        <v>25</v>
      </c>
      <c r="D28" s="173"/>
      <c r="E28" s="173"/>
      <c r="F28" s="172"/>
    </row>
    <row r="29" spans="1:7" ht="36.0" customHeight="1" x14ac:dyDescent="0.15">
      <c r="A29" s="13"/>
      <c r="B29" s="27"/>
      <c r="C29" s="159" t="s">
        <v>26</v>
      </c>
      <c r="D29" s="158"/>
      <c r="E29" s="158"/>
      <c r="F29" s="157"/>
      <c r="G29" s="28"/>
    </row>
    <row r="30" spans="1:5" ht="18.75" customHeight="1" x14ac:dyDescent="0.15">
      <c r="A30" s="2"/>
      <c r="B30" s="2"/>
      <c r="C30" s="2"/>
      <c r="D30" s="2"/>
      <c r="E30" s="4"/>
    </row>
  </sheetData>
  <sheetProtection formatCells="0" formatColumns="0" formatRows="0" insertColumns="0" insertRows="0" insertHyperlinks="0"/>
  <mergeCells count="31">
    <mergeCell ref="C18:F18"/>
    <mergeCell ref="C19:F19"/>
    <mergeCell ref="C20:F20"/>
    <mergeCell ref="C21:F21"/>
    <mergeCell ref="F1:F4"/>
    <mergeCell ref="B1:E5"/>
    <mergeCell ref="A16:B16"/>
    <mergeCell ref="C7:D7"/>
    <mergeCell ref="C8:D8"/>
    <mergeCell ref="C9:D9"/>
    <mergeCell ref="C10:D10"/>
    <mergeCell ref="C11:D11"/>
    <mergeCell ref="C12:D12"/>
    <mergeCell ref="C13:D13"/>
    <mergeCell ref="C16:F17"/>
    <mergeCell ref="C27:F27"/>
    <mergeCell ref="C28:F28"/>
    <mergeCell ref="C29:F29"/>
    <mergeCell ref="A7:B7"/>
    <mergeCell ref="A8:B8"/>
    <mergeCell ref="A9:B9"/>
    <mergeCell ref="A10:B10"/>
    <mergeCell ref="A11:B11"/>
    <mergeCell ref="A12:B12"/>
    <mergeCell ref="A13:B13"/>
    <mergeCell ref="A14:B14"/>
    <mergeCell ref="C22:F22"/>
    <mergeCell ref="C23:F23"/>
    <mergeCell ref="C24:F24"/>
    <mergeCell ref="C25:F25"/>
    <mergeCell ref="C26:F26"/>
  </mergeCells>
  <phoneticPr fontId="0" type="noConversion"/>
  <printOptions horizontalCentered="1"/>
  <pageMargins left="0.31523838287263406" right="0.31523838287263406" top="0.3541223880812878" bottom="0.3541223880812878" header="0.31523838287263406" footer="0.31523838287263406"/>
  <pageSetup paperSize="1" scale="6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D18"/>
  <sheetViews>
    <sheetView showGridLines="0" zoomScale="150" zoomScaleNormal="150" topLeftCell="A1" workbookViewId="0">
      <selection activeCell="E17" activeCellId="0" sqref="E17"/>
    </sheetView>
  </sheetViews>
  <sheetFormatPr defaultRowHeight="15.0" defaultColWidth="9.0" x14ac:dyDescent="0.15"/>
  <cols>
    <col min="1" max="1" width="15.0" customWidth="1"/>
    <col min="2" max="2" width="9.0"/>
    <col min="3" max="3" width="34.0" customWidth="1"/>
    <col min="4" max="4" width="20.75" customWidth="1"/>
  </cols>
  <sheetData>
    <row r="1" spans="1:4" ht="15.75" x14ac:dyDescent="0.15">
      <c r="A1" s="7"/>
      <c r="B1" s="7"/>
      <c r="C1" s="7"/>
      <c r="D1" s="7"/>
    </row>
    <row r="2" spans="1:4" x14ac:dyDescent="0.15">
      <c r="A2" s="184" t="s">
        <v>552</v>
      </c>
      <c r="B2" s="183"/>
      <c r="C2" s="183"/>
      <c r="D2" s="182"/>
    </row>
    <row r="3" spans="1:4" x14ac:dyDescent="0.15">
      <c r="A3" s="8" t="s">
        <v>553</v>
      </c>
      <c r="B3" s="185" t="s">
        <v>554</v>
      </c>
      <c r="C3" s="185"/>
      <c r="D3" s="18" t="s">
        <v>555</v>
      </c>
    </row>
    <row r="4" spans="1:4" x14ac:dyDescent="0.15">
      <c r="A4" s="9" t="s">
        <v>556</v>
      </c>
      <c r="B4" s="187" t="s">
        <v>557</v>
      </c>
      <c r="C4" s="186"/>
      <c r="D4" s="19" t="s">
        <v>558</v>
      </c>
    </row>
    <row r="5" spans="1:4" s="1" customFormat="1" ht="15.0" x14ac:dyDescent="0.15">
      <c r="A5" s="16" t="s">
        <v>559</v>
      </c>
      <c r="B5" s="189" t="s">
        <v>560</v>
      </c>
      <c r="C5" s="188"/>
      <c r="D5" s="20" t="s">
        <v>561</v>
      </c>
    </row>
    <row r="6" spans="1:4" s="1" customFormat="1" ht="44.45" customHeight="1" x14ac:dyDescent="0.15">
      <c r="A6" s="24" t="s">
        <v>562</v>
      </c>
      <c r="B6" s="191" t="s">
        <v>563</v>
      </c>
      <c r="C6" s="190"/>
      <c r="D6" s="25" t="s">
        <v>564</v>
      </c>
    </row>
    <row r="7" spans="1:4" ht="46.15" customHeight="1" x14ac:dyDescent="0.15">
      <c r="A7" s="17" t="s">
        <v>565</v>
      </c>
      <c r="B7" s="181" t="s">
        <v>566</v>
      </c>
      <c r="C7" s="180"/>
      <c r="D7" s="21" t="s">
        <v>567</v>
      </c>
    </row>
    <row r="8" spans="1:4" x14ac:dyDescent="0.15">
      <c r="A8" s="7"/>
      <c r="B8" s="7"/>
      <c r="C8" s="7"/>
      <c r="D8" s="7"/>
    </row>
    <row r="9" spans="1:4" x14ac:dyDescent="0.15">
      <c r="A9" s="7"/>
      <c r="B9" s="7"/>
      <c r="C9" s="7"/>
      <c r="D9" s="7"/>
    </row>
    <row r="10" spans="1:4" x14ac:dyDescent="0.15">
      <c r="A10" s="7"/>
      <c r="B10" s="7"/>
      <c r="C10" s="7"/>
      <c r="D10" s="7"/>
    </row>
    <row r="11" spans="1:4" x14ac:dyDescent="0.15">
      <c r="A11" s="7"/>
      <c r="B11" s="7"/>
      <c r="C11" s="7"/>
      <c r="D11" s="7"/>
    </row>
    <row r="12" spans="1:4" x14ac:dyDescent="0.15">
      <c r="A12" s="7"/>
      <c r="B12" s="7"/>
      <c r="C12" s="7"/>
      <c r="D12" s="7"/>
    </row>
    <row r="13" spans="1:4" x14ac:dyDescent="0.15">
      <c r="A13" s="7"/>
      <c r="B13" s="7"/>
      <c r="C13" s="7"/>
      <c r="D13" s="7"/>
    </row>
    <row r="14" spans="1:4" x14ac:dyDescent="0.15">
      <c r="A14" s="7"/>
      <c r="B14" s="7"/>
      <c r="C14" s="7"/>
      <c r="D14" s="7"/>
    </row>
    <row r="15" spans="1:4" x14ac:dyDescent="0.15">
      <c r="A15" s="7"/>
      <c r="B15" s="7"/>
      <c r="C15" s="7"/>
      <c r="D15" s="7"/>
    </row>
    <row r="16" spans="1:4" x14ac:dyDescent="0.15">
      <c r="A16" s="7"/>
      <c r="B16" s="7"/>
      <c r="C16" s="7"/>
      <c r="D16" s="7"/>
    </row>
    <row r="17" spans="1:4" x14ac:dyDescent="0.15">
      <c r="A17" s="7"/>
      <c r="B17" s="7"/>
      <c r="C17" s="7"/>
      <c r="D17" s="7"/>
    </row>
    <row r="18" spans="1:4" x14ac:dyDescent="0.15">
      <c r="A18" s="7"/>
      <c r="B18" s="7"/>
      <c r="C18" s="7"/>
      <c r="D18" s="7"/>
    </row>
  </sheetData>
  <sheetProtection sheet="1" objects="1" scenarios="1" algorithmName="SHA-512" hashValue="B2dMGICedxj2j3C9ORhz/T2/AP0H+0i67RPPdDOiAsgnKLPOyaK8K+5n4NumAA9JuwqkIxGxB4imrdI7IPAODg==" saltValue="wjGQBqz/PDJbSS0NlVMQXw==" spinCount="100000"/>
  <mergeCells count="6">
    <mergeCell ref="B7:C7"/>
    <mergeCell ref="A2:D2"/>
    <mergeCell ref="B3:C3"/>
    <mergeCell ref="B4:C4"/>
    <mergeCell ref="B5:C5"/>
    <mergeCell ref="B6:C6"/>
  </mergeCells>
  <phoneticPr fontId="0" type="noConversion"/>
  <pageMargins left="0.7082447761625756" right="0.7082447761625756" top="0.747823152016467" bottom="0.747823152016467" header="0.31523838287263406" footer="0.31523838287263406"/>
  <pageSetup paperSize="1" scale="11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K260"/>
  <sheetViews>
    <sheetView tabSelected="1" zoomScale="130" zoomScaleNormal="130" topLeftCell="E129" workbookViewId="0">
      <selection activeCell="I137" activeCellId="0" sqref="I137"/>
    </sheetView>
  </sheetViews>
  <sheetFormatPr defaultRowHeight="15.0" defaultColWidth="9.0" x14ac:dyDescent="0.15"/>
  <cols>
    <col min="1" max="1" width="16.375" customWidth="1"/>
    <col min="2" max="2" width="9.0"/>
    <col min="3" max="3" width="25.875" customWidth="1"/>
    <col min="4" max="4" width="44.125" customWidth="1"/>
    <col min="5" max="5" width="45.0" customWidth="1"/>
    <col min="6" max="6" width="42.125" customWidth="1"/>
    <col min="7" max="8" width="14.625" customWidth="1"/>
    <col min="9" max="9" width="25.375" customWidth="1"/>
    <col min="10" max="10" width="25.0" customWidth="1"/>
  </cols>
  <sheetData>
    <row r="1" spans="1:10" ht="17.249737" x14ac:dyDescent="0.15">
      <c r="A1" s="39" t="s">
        <v>27</v>
      </c>
      <c r="B1" s="31" t="s">
        <v>28</v>
      </c>
      <c r="C1" s="32" t="s">
        <v>29</v>
      </c>
      <c r="D1" s="33" t="s">
        <v>30</v>
      </c>
      <c r="E1" s="33" t="s">
        <v>31</v>
      </c>
      <c r="F1" s="30" t="s">
        <v>32</v>
      </c>
      <c r="G1" s="51" t="s">
        <v>33</v>
      </c>
      <c r="H1" s="34" t="s">
        <v>34</v>
      </c>
      <c r="I1" s="37" t="s">
        <v>35</v>
      </c>
      <c r="J1" s="38">
        <f>COUNTIF(G:G,"SI")</f>
        <v>114</v>
      </c>
    </row>
    <row r="2" spans="1:8" ht="15.0" hidden="1" x14ac:dyDescent="0.15">
      <c r="A2" s="40" t="s">
        <v>36</v>
      </c>
      <c r="B2" s="41" t="s">
        <v>37</v>
      </c>
      <c r="C2" s="41" t="s">
        <v>38</v>
      </c>
      <c r="D2" s="41" t="s">
        <v>39</v>
      </c>
      <c r="E2" s="46" t="s">
        <v>40</v>
      </c>
      <c r="F2" s="42">
        <v>2.0</v>
      </c>
      <c r="G2" s="35"/>
      <c r="H2" s="35"/>
    </row>
    <row r="3" spans="1:8" ht="15.0" hidden="1" x14ac:dyDescent="0.15">
      <c r="A3" s="41" t="s">
        <v>41</v>
      </c>
      <c r="B3" s="41" t="s">
        <v>37</v>
      </c>
      <c r="C3" s="43" t="s">
        <v>42</v>
      </c>
      <c r="D3" s="41" t="s">
        <v>43</v>
      </c>
      <c r="E3" s="46" t="s">
        <v>44</v>
      </c>
      <c r="F3" s="42">
        <v>2.0</v>
      </c>
      <c r="G3" s="35"/>
      <c r="H3" s="44"/>
    </row>
    <row r="4" spans="1:8" ht="15.0" hidden="1" x14ac:dyDescent="0.15">
      <c r="A4" s="41" t="s">
        <v>45</v>
      </c>
      <c r="B4" s="41" t="s">
        <v>37</v>
      </c>
      <c r="C4" s="43" t="s">
        <v>46</v>
      </c>
      <c r="D4" s="41" t="s">
        <v>47</v>
      </c>
      <c r="E4" s="46" t="s">
        <v>48</v>
      </c>
      <c r="F4" s="42">
        <v>2.0</v>
      </c>
      <c r="G4" s="35"/>
      <c r="H4" s="44"/>
    </row>
    <row r="5" spans="1:8" ht="15.0" hidden="1" x14ac:dyDescent="0.15">
      <c r="A5" s="40" t="s">
        <v>49</v>
      </c>
      <c r="B5" s="41" t="s">
        <v>37</v>
      </c>
      <c r="C5" s="41" t="s">
        <v>38</v>
      </c>
      <c r="D5" s="41" t="s">
        <v>50</v>
      </c>
      <c r="E5" s="46" t="s">
        <v>51</v>
      </c>
      <c r="F5" s="42">
        <v>2.0</v>
      </c>
      <c r="G5" s="35"/>
      <c r="H5" s="44"/>
    </row>
    <row r="6" spans="1:8" ht="15.0" hidden="1" x14ac:dyDescent="0.15">
      <c r="A6" s="41" t="s">
        <v>52</v>
      </c>
      <c r="B6" s="41" t="s">
        <v>37</v>
      </c>
      <c r="C6" s="41" t="s">
        <v>38</v>
      </c>
      <c r="D6" s="41" t="s">
        <v>53</v>
      </c>
      <c r="E6" s="46" t="s">
        <v>54</v>
      </c>
      <c r="F6" s="42">
        <v>2.0</v>
      </c>
      <c r="G6" s="35"/>
      <c r="H6" s="44"/>
    </row>
    <row r="7" spans="1:8" ht="15.0" hidden="1" x14ac:dyDescent="0.15">
      <c r="A7" s="41" t="s">
        <v>55</v>
      </c>
      <c r="B7" s="41" t="s">
        <v>37</v>
      </c>
      <c r="C7" s="41" t="s">
        <v>38</v>
      </c>
      <c r="D7" s="41" t="s">
        <v>56</v>
      </c>
      <c r="E7" s="46" t="s">
        <v>54</v>
      </c>
      <c r="F7" s="42">
        <v>2.0</v>
      </c>
      <c r="G7" s="35"/>
      <c r="H7" s="44"/>
    </row>
    <row r="8" spans="1:8" ht="15.0" hidden="1" x14ac:dyDescent="0.15">
      <c r="A8" s="41" t="s">
        <v>57</v>
      </c>
      <c r="B8" s="41" t="s">
        <v>37</v>
      </c>
      <c r="C8" s="41" t="s">
        <v>38</v>
      </c>
      <c r="D8" s="41" t="s">
        <v>58</v>
      </c>
      <c r="E8" s="46" t="s">
        <v>59</v>
      </c>
      <c r="F8" s="42">
        <v>2.0</v>
      </c>
      <c r="G8" s="35"/>
      <c r="H8" s="44"/>
    </row>
    <row r="9" spans="1:8" ht="15.0" hidden="1" x14ac:dyDescent="0.15">
      <c r="A9" s="41" t="s">
        <v>60</v>
      </c>
      <c r="B9" s="41" t="s">
        <v>37</v>
      </c>
      <c r="C9" s="41" t="s">
        <v>61</v>
      </c>
      <c r="D9" s="41" t="s">
        <v>62</v>
      </c>
      <c r="E9" s="46" t="s">
        <v>44</v>
      </c>
      <c r="F9" s="42">
        <v>2.0</v>
      </c>
      <c r="G9" s="35"/>
      <c r="H9" s="44"/>
    </row>
    <row r="10" spans="1:8" ht="15.0" hidden="1" x14ac:dyDescent="0.15">
      <c r="A10" s="41" t="s">
        <v>63</v>
      </c>
      <c r="B10" s="41" t="s">
        <v>37</v>
      </c>
      <c r="C10" s="41" t="s">
        <v>42</v>
      </c>
      <c r="D10" s="41" t="s">
        <v>64</v>
      </c>
      <c r="E10" s="46" t="s">
        <v>54</v>
      </c>
      <c r="F10" s="42">
        <v>2.0</v>
      </c>
      <c r="G10" s="35"/>
      <c r="H10" s="44"/>
    </row>
    <row r="11" spans="1:8" ht="15.0" hidden="1" x14ac:dyDescent="0.15">
      <c r="A11" s="41" t="s">
        <v>65</v>
      </c>
      <c r="B11" s="41" t="s">
        <v>37</v>
      </c>
      <c r="C11" s="41" t="s">
        <v>66</v>
      </c>
      <c r="D11" s="41" t="s">
        <v>67</v>
      </c>
      <c r="E11" s="46" t="s">
        <v>48</v>
      </c>
      <c r="F11" s="42">
        <v>2.0</v>
      </c>
      <c r="G11" s="35"/>
      <c r="H11" s="44"/>
    </row>
    <row r="12" spans="1:8" ht="15.0" hidden="1" x14ac:dyDescent="0.15">
      <c r="A12" s="41" t="s">
        <v>68</v>
      </c>
      <c r="B12" s="41" t="s">
        <v>37</v>
      </c>
      <c r="C12" s="41" t="s">
        <v>69</v>
      </c>
      <c r="D12" s="41" t="s">
        <v>70</v>
      </c>
      <c r="E12" s="46" t="s">
        <v>48</v>
      </c>
      <c r="F12" s="42">
        <v>2.0</v>
      </c>
      <c r="G12" s="35"/>
      <c r="H12" s="44"/>
    </row>
    <row r="13" spans="1:9" ht="15.0" hidden="1" x14ac:dyDescent="0.15">
      <c r="A13" s="41" t="s">
        <v>71</v>
      </c>
      <c r="B13" s="41" t="s">
        <v>37</v>
      </c>
      <c r="C13" s="41" t="s">
        <v>72</v>
      </c>
      <c r="D13" s="41" t="s">
        <v>73</v>
      </c>
      <c r="E13" s="46" t="s">
        <v>48</v>
      </c>
      <c r="F13" s="42">
        <v>2.0</v>
      </c>
      <c r="G13" s="35"/>
      <c r="H13" s="44"/>
      <c r="I13" s="36"/>
    </row>
    <row r="14" spans="1:8" ht="15.0" hidden="1" x14ac:dyDescent="0.15">
      <c r="A14" s="41" t="s">
        <v>74</v>
      </c>
      <c r="B14" s="41" t="s">
        <v>37</v>
      </c>
      <c r="C14" s="41" t="s">
        <v>61</v>
      </c>
      <c r="D14" s="41" t="s">
        <v>75</v>
      </c>
      <c r="E14" s="46" t="s">
        <v>59</v>
      </c>
      <c r="F14" s="42">
        <v>2.0</v>
      </c>
      <c r="G14" s="35"/>
      <c r="H14" s="44"/>
    </row>
    <row r="15" spans="1:8" ht="15.0" hidden="1" x14ac:dyDescent="0.15">
      <c r="A15" s="41" t="s">
        <v>76</v>
      </c>
      <c r="B15" s="41" t="s">
        <v>37</v>
      </c>
      <c r="C15" s="41" t="s">
        <v>61</v>
      </c>
      <c r="D15" s="41" t="s">
        <v>77</v>
      </c>
      <c r="E15" s="46" t="s">
        <v>59</v>
      </c>
      <c r="F15" s="42">
        <v>2.0</v>
      </c>
      <c r="G15" s="35"/>
      <c r="H15" s="44"/>
    </row>
    <row r="16" spans="1:8" ht="15.0" hidden="1" x14ac:dyDescent="0.15">
      <c r="A16" s="41" t="s">
        <v>78</v>
      </c>
      <c r="B16" s="41" t="s">
        <v>37</v>
      </c>
      <c r="C16" s="41" t="s">
        <v>79</v>
      </c>
      <c r="D16" s="41" t="s">
        <v>80</v>
      </c>
      <c r="E16" s="46" t="s">
        <v>81</v>
      </c>
      <c r="F16" s="45">
        <v>2.0</v>
      </c>
      <c r="G16" s="35"/>
      <c r="H16" s="44"/>
    </row>
    <row r="17" spans="1:8" ht="15.0" hidden="1" x14ac:dyDescent="0.15">
      <c r="A17" s="41" t="s">
        <v>82</v>
      </c>
      <c r="B17" s="41" t="s">
        <v>37</v>
      </c>
      <c r="C17" s="41" t="s">
        <v>61</v>
      </c>
      <c r="D17" s="41" t="s">
        <v>83</v>
      </c>
      <c r="E17" s="46" t="s">
        <v>40</v>
      </c>
      <c r="F17" s="42">
        <v>2.0</v>
      </c>
      <c r="G17" s="35"/>
      <c r="H17" s="44"/>
    </row>
    <row r="18" spans="1:8" ht="15.0" hidden="1" x14ac:dyDescent="0.15">
      <c r="A18" s="41" t="s">
        <v>84</v>
      </c>
      <c r="B18" s="41" t="s">
        <v>37</v>
      </c>
      <c r="C18" s="41" t="s">
        <v>85</v>
      </c>
      <c r="D18" s="41" t="s">
        <v>86</v>
      </c>
      <c r="E18" s="46" t="s">
        <v>87</v>
      </c>
      <c r="F18" s="42">
        <v>2.0</v>
      </c>
      <c r="G18" s="35"/>
      <c r="H18" s="44"/>
    </row>
    <row r="19" spans="1:8" ht="15.0" hidden="1" x14ac:dyDescent="0.15">
      <c r="A19" s="41" t="s">
        <v>88</v>
      </c>
      <c r="B19" s="41" t="s">
        <v>37</v>
      </c>
      <c r="C19" s="41" t="s">
        <v>89</v>
      </c>
      <c r="D19" s="41" t="s">
        <v>90</v>
      </c>
      <c r="E19" s="46" t="s">
        <v>48</v>
      </c>
      <c r="F19" s="42">
        <v>2.0</v>
      </c>
      <c r="G19" s="35"/>
      <c r="H19" s="44"/>
    </row>
    <row r="20" spans="1:8" ht="15.0" hidden="1" x14ac:dyDescent="0.15">
      <c r="A20" s="41" t="s">
        <v>91</v>
      </c>
      <c r="B20" s="41" t="s">
        <v>37</v>
      </c>
      <c r="C20" s="41" t="s">
        <v>79</v>
      </c>
      <c r="D20" s="41" t="s">
        <v>92</v>
      </c>
      <c r="E20" s="46" t="s">
        <v>81</v>
      </c>
      <c r="F20" s="42">
        <v>2.0</v>
      </c>
      <c r="G20" s="35"/>
      <c r="H20" s="44"/>
    </row>
    <row r="21" spans="1:8" ht="15.0" hidden="1" x14ac:dyDescent="0.15">
      <c r="A21" s="41" t="s">
        <v>93</v>
      </c>
      <c r="B21" s="41" t="s">
        <v>37</v>
      </c>
      <c r="C21" s="41" t="s">
        <v>79</v>
      </c>
      <c r="D21" s="41" t="s">
        <v>94</v>
      </c>
      <c r="E21" s="46" t="s">
        <v>59</v>
      </c>
      <c r="F21" s="42">
        <v>2.0</v>
      </c>
      <c r="G21" s="35"/>
      <c r="H21" s="44"/>
    </row>
    <row r="22" spans="1:8" ht="15.0" hidden="1" x14ac:dyDescent="0.15">
      <c r="A22" s="41" t="s">
        <v>95</v>
      </c>
      <c r="B22" s="41" t="s">
        <v>37</v>
      </c>
      <c r="C22" s="41" t="s">
        <v>96</v>
      </c>
      <c r="D22" s="41" t="s">
        <v>97</v>
      </c>
      <c r="E22" s="41" t="s">
        <v>48</v>
      </c>
      <c r="F22" s="42">
        <v>2.0</v>
      </c>
      <c r="G22" s="35"/>
      <c r="H22" s="44"/>
    </row>
    <row r="23" spans="1:8" ht="15.0" hidden="1" x14ac:dyDescent="0.15">
      <c r="A23" s="41" t="s">
        <v>98</v>
      </c>
      <c r="B23" s="41" t="s">
        <v>37</v>
      </c>
      <c r="C23" s="41" t="s">
        <v>99</v>
      </c>
      <c r="D23" s="41" t="s">
        <v>100</v>
      </c>
      <c r="E23" s="46" t="s">
        <v>48</v>
      </c>
      <c r="F23" s="42">
        <v>2.0</v>
      </c>
      <c r="G23" s="35"/>
      <c r="H23" s="44"/>
    </row>
    <row r="24" spans="1:8" ht="15.0" hidden="1" x14ac:dyDescent="0.15">
      <c r="A24" s="41" t="s">
        <v>101</v>
      </c>
      <c r="B24" s="41" t="s">
        <v>37</v>
      </c>
      <c r="C24" s="41" t="s">
        <v>79</v>
      </c>
      <c r="D24" s="41" t="s">
        <v>102</v>
      </c>
      <c r="E24" s="41" t="s">
        <v>40</v>
      </c>
      <c r="F24" s="42">
        <v>2.0</v>
      </c>
      <c r="G24" s="35"/>
      <c r="H24" s="44"/>
    </row>
    <row r="25" spans="1:8" ht="15.0" hidden="1" x14ac:dyDescent="0.15">
      <c r="A25" s="41" t="s">
        <v>103</v>
      </c>
      <c r="B25" s="41" t="s">
        <v>37</v>
      </c>
      <c r="C25" s="41" t="s">
        <v>104</v>
      </c>
      <c r="D25" s="41" t="s">
        <v>105</v>
      </c>
      <c r="E25" s="46" t="s">
        <v>106</v>
      </c>
      <c r="F25" s="42">
        <v>2.0</v>
      </c>
      <c r="G25" s="35"/>
      <c r="H25" s="44"/>
    </row>
    <row r="26" spans="1:8" ht="15.0" hidden="1" x14ac:dyDescent="0.15">
      <c r="A26" s="41" t="s">
        <v>107</v>
      </c>
      <c r="B26" s="41" t="s">
        <v>37</v>
      </c>
      <c r="C26" s="41" t="s">
        <v>104</v>
      </c>
      <c r="D26" s="41" t="s">
        <v>108</v>
      </c>
      <c r="E26" s="46" t="s">
        <v>87</v>
      </c>
      <c r="F26" s="42">
        <v>2.0</v>
      </c>
      <c r="G26" s="35"/>
      <c r="H26" s="44"/>
    </row>
    <row r="27" spans="1:8" ht="15.0" hidden="1" x14ac:dyDescent="0.15">
      <c r="A27" s="41" t="s">
        <v>109</v>
      </c>
      <c r="B27" s="41" t="s">
        <v>37</v>
      </c>
      <c r="C27" s="41" t="s">
        <v>99</v>
      </c>
      <c r="D27" s="41" t="s">
        <v>110</v>
      </c>
      <c r="E27" s="46" t="s">
        <v>48</v>
      </c>
      <c r="F27" s="42">
        <v>2.0</v>
      </c>
      <c r="G27" s="35"/>
      <c r="H27" s="44"/>
    </row>
    <row r="28" spans="1:8" ht="15.0" hidden="1" x14ac:dyDescent="0.15">
      <c r="A28" s="41" t="s">
        <v>111</v>
      </c>
      <c r="B28" s="41" t="s">
        <v>37</v>
      </c>
      <c r="C28" s="41" t="s">
        <v>112</v>
      </c>
      <c r="D28" s="41" t="s">
        <v>113</v>
      </c>
      <c r="E28" s="46" t="s">
        <v>44</v>
      </c>
      <c r="F28" s="42">
        <v>2.0</v>
      </c>
      <c r="G28" s="35"/>
      <c r="H28" s="44"/>
    </row>
    <row r="29" spans="1:8" ht="15.0" hidden="1" x14ac:dyDescent="0.15">
      <c r="A29" s="41" t="s">
        <v>114</v>
      </c>
      <c r="B29" s="41" t="s">
        <v>37</v>
      </c>
      <c r="C29" s="41" t="s">
        <v>115</v>
      </c>
      <c r="D29" s="41" t="s">
        <v>116</v>
      </c>
      <c r="E29" s="46" t="s">
        <v>54</v>
      </c>
      <c r="F29" s="42">
        <v>2.0</v>
      </c>
      <c r="G29" s="35"/>
      <c r="H29" s="44"/>
    </row>
    <row r="30" spans="1:8" ht="15.0" hidden="1" x14ac:dyDescent="0.15">
      <c r="A30" s="41" t="s">
        <v>117</v>
      </c>
      <c r="B30" s="41" t="s">
        <v>37</v>
      </c>
      <c r="C30" s="41" t="s">
        <v>61</v>
      </c>
      <c r="D30" s="41" t="s">
        <v>118</v>
      </c>
      <c r="E30" s="46" t="s">
        <v>59</v>
      </c>
      <c r="F30" s="42">
        <v>2.0</v>
      </c>
      <c r="G30" s="35"/>
      <c r="H30" s="44"/>
    </row>
    <row r="31" spans="1:8" ht="15.0" hidden="1" x14ac:dyDescent="0.15">
      <c r="A31" s="41" t="s">
        <v>119</v>
      </c>
      <c r="B31" s="41" t="s">
        <v>37</v>
      </c>
      <c r="C31" s="41" t="s">
        <v>79</v>
      </c>
      <c r="D31" s="41" t="s">
        <v>120</v>
      </c>
      <c r="E31" s="46" t="s">
        <v>59</v>
      </c>
      <c r="F31" s="42">
        <v>2.0</v>
      </c>
      <c r="G31" s="35"/>
      <c r="H31" s="44"/>
    </row>
    <row r="32" spans="1:8" ht="15.0" hidden="1" x14ac:dyDescent="0.15">
      <c r="A32" s="41" t="s">
        <v>121</v>
      </c>
      <c r="B32" s="41" t="s">
        <v>37</v>
      </c>
      <c r="C32" s="41" t="s">
        <v>79</v>
      </c>
      <c r="D32" s="41" t="s">
        <v>122</v>
      </c>
      <c r="E32" s="46" t="s">
        <v>59</v>
      </c>
      <c r="F32" s="42">
        <v>2.0</v>
      </c>
      <c r="G32" s="35"/>
      <c r="H32" s="44"/>
    </row>
    <row r="33" spans="1:8" ht="15.0" hidden="1" x14ac:dyDescent="0.15">
      <c r="A33" s="41" t="s">
        <v>123</v>
      </c>
      <c r="B33" s="41" t="s">
        <v>37</v>
      </c>
      <c r="C33" s="41" t="s">
        <v>104</v>
      </c>
      <c r="D33" s="41" t="s">
        <v>124</v>
      </c>
      <c r="E33" s="46" t="s">
        <v>44</v>
      </c>
      <c r="F33" s="42">
        <v>2.0</v>
      </c>
      <c r="G33" s="35"/>
      <c r="H33" s="44"/>
    </row>
    <row r="34" spans="1:8" ht="15.0" hidden="1" x14ac:dyDescent="0.15">
      <c r="A34" s="41" t="s">
        <v>125</v>
      </c>
      <c r="B34" s="41" t="s">
        <v>37</v>
      </c>
      <c r="C34" s="41" t="s">
        <v>104</v>
      </c>
      <c r="D34" s="41" t="s">
        <v>126</v>
      </c>
      <c r="E34" s="46" t="s">
        <v>54</v>
      </c>
      <c r="F34" s="42">
        <v>2.0</v>
      </c>
      <c r="G34" s="35"/>
      <c r="H34" s="44"/>
    </row>
    <row r="35" spans="1:8" ht="15.0" hidden="1" x14ac:dyDescent="0.15">
      <c r="A35" s="41" t="s">
        <v>127</v>
      </c>
      <c r="B35" s="41" t="s">
        <v>37</v>
      </c>
      <c r="C35" s="41" t="s">
        <v>99</v>
      </c>
      <c r="D35" s="41" t="s">
        <v>128</v>
      </c>
      <c r="E35" s="46" t="s">
        <v>54</v>
      </c>
      <c r="F35" s="42">
        <v>2.0</v>
      </c>
      <c r="G35" s="35"/>
      <c r="H35" s="44"/>
    </row>
    <row r="36" spans="1:8" ht="15.0" hidden="1" x14ac:dyDescent="0.15">
      <c r="A36" s="41" t="s">
        <v>129</v>
      </c>
      <c r="B36" s="41" t="s">
        <v>37</v>
      </c>
      <c r="C36" s="41" t="s">
        <v>42</v>
      </c>
      <c r="D36" s="41" t="s">
        <v>130</v>
      </c>
      <c r="E36" s="46" t="s">
        <v>131</v>
      </c>
      <c r="F36" s="42">
        <v>2.0</v>
      </c>
      <c r="G36" s="35"/>
      <c r="H36" s="44"/>
    </row>
    <row r="37" spans="1:8" ht="15.0" hidden="1" x14ac:dyDescent="0.15">
      <c r="A37" s="41" t="s">
        <v>132</v>
      </c>
      <c r="B37" s="41" t="s">
        <v>37</v>
      </c>
      <c r="C37" s="41" t="s">
        <v>42</v>
      </c>
      <c r="D37" s="41" t="s">
        <v>133</v>
      </c>
      <c r="E37" s="46" t="s">
        <v>44</v>
      </c>
      <c r="F37" s="42">
        <v>2.0</v>
      </c>
      <c r="G37" s="35"/>
      <c r="H37" s="44"/>
    </row>
    <row r="38" spans="1:8" ht="15.0" hidden="1" x14ac:dyDescent="0.15">
      <c r="A38" s="41" t="s">
        <v>134</v>
      </c>
      <c r="B38" s="41" t="s">
        <v>37</v>
      </c>
      <c r="C38" s="41" t="s">
        <v>104</v>
      </c>
      <c r="D38" s="41" t="s">
        <v>135</v>
      </c>
      <c r="E38" s="46" t="s">
        <v>87</v>
      </c>
      <c r="F38" s="42">
        <v>2.0</v>
      </c>
      <c r="G38" s="35"/>
      <c r="H38" s="44"/>
    </row>
    <row r="39" spans="1:8" ht="15.0" hidden="1" x14ac:dyDescent="0.15">
      <c r="A39" s="41" t="s">
        <v>136</v>
      </c>
      <c r="B39" s="41" t="s">
        <v>37</v>
      </c>
      <c r="C39" s="41" t="s">
        <v>42</v>
      </c>
      <c r="D39" s="41" t="s">
        <v>137</v>
      </c>
      <c r="E39" s="46" t="s">
        <v>54</v>
      </c>
      <c r="F39" s="42">
        <v>2.0</v>
      </c>
      <c r="G39" s="35"/>
      <c r="H39" s="44"/>
    </row>
    <row r="40" spans="1:8" ht="15.0" hidden="1" x14ac:dyDescent="0.15">
      <c r="A40" s="41" t="s">
        <v>138</v>
      </c>
      <c r="B40" s="41" t="s">
        <v>37</v>
      </c>
      <c r="C40" s="41" t="s">
        <v>42</v>
      </c>
      <c r="D40" s="41" t="s">
        <v>139</v>
      </c>
      <c r="E40" s="46" t="s">
        <v>54</v>
      </c>
      <c r="F40" s="42">
        <v>2.0</v>
      </c>
      <c r="G40" s="35"/>
      <c r="H40" s="44"/>
    </row>
    <row r="41" spans="1:8" ht="15.0" hidden="1" x14ac:dyDescent="0.15">
      <c r="A41" s="41" t="s">
        <v>140</v>
      </c>
      <c r="B41" s="41" t="s">
        <v>37</v>
      </c>
      <c r="C41" s="41" t="s">
        <v>85</v>
      </c>
      <c r="D41" s="41" t="s">
        <v>141</v>
      </c>
      <c r="E41" s="46" t="s">
        <v>48</v>
      </c>
      <c r="F41" s="42">
        <v>2.0</v>
      </c>
      <c r="G41" s="35"/>
      <c r="H41" s="44"/>
    </row>
    <row r="42" spans="1:8" ht="15.0" hidden="1" x14ac:dyDescent="0.15">
      <c r="A42" s="41" t="s">
        <v>142</v>
      </c>
      <c r="B42" s="41" t="s">
        <v>37</v>
      </c>
      <c r="C42" s="41" t="s">
        <v>42</v>
      </c>
      <c r="D42" s="41" t="s">
        <v>143</v>
      </c>
      <c r="E42" s="46" t="s">
        <v>144</v>
      </c>
      <c r="F42" s="42">
        <v>2.0</v>
      </c>
      <c r="G42" s="35"/>
      <c r="H42" s="44"/>
    </row>
    <row r="43" spans="1:8" ht="15.0" hidden="1" x14ac:dyDescent="0.15">
      <c r="A43" s="41" t="s">
        <v>145</v>
      </c>
      <c r="B43" s="41" t="s">
        <v>37</v>
      </c>
      <c r="C43" s="41" t="s">
        <v>42</v>
      </c>
      <c r="D43" s="41" t="s">
        <v>146</v>
      </c>
      <c r="E43" s="46" t="s">
        <v>87</v>
      </c>
      <c r="F43" s="42">
        <v>2.0</v>
      </c>
      <c r="G43" s="35"/>
      <c r="H43" s="44"/>
    </row>
    <row r="44" spans="1:8" ht="15.0" hidden="1" x14ac:dyDescent="0.15">
      <c r="A44" s="41" t="s">
        <v>147</v>
      </c>
      <c r="B44" s="41" t="s">
        <v>37</v>
      </c>
      <c r="C44" s="41" t="s">
        <v>104</v>
      </c>
      <c r="D44" s="41" t="s">
        <v>148</v>
      </c>
      <c r="E44" s="46" t="s">
        <v>44</v>
      </c>
      <c r="F44" s="42">
        <v>2.0</v>
      </c>
      <c r="G44" s="35"/>
      <c r="H44" s="44"/>
    </row>
    <row r="45" spans="1:8" ht="15.0" hidden="1" x14ac:dyDescent="0.15">
      <c r="A45" s="41" t="s">
        <v>149</v>
      </c>
      <c r="B45" s="41" t="s">
        <v>37</v>
      </c>
      <c r="C45" s="41" t="s">
        <v>104</v>
      </c>
      <c r="D45" s="41" t="s">
        <v>150</v>
      </c>
      <c r="E45" s="46" t="s">
        <v>48</v>
      </c>
      <c r="F45" s="42">
        <v>2.0</v>
      </c>
      <c r="G45" s="35"/>
      <c r="H45" s="44"/>
    </row>
    <row r="46" spans="1:8" ht="15.0" hidden="1" x14ac:dyDescent="0.15">
      <c r="A46" s="41" t="s">
        <v>151</v>
      </c>
      <c r="B46" s="41" t="s">
        <v>37</v>
      </c>
      <c r="C46" s="41" t="s">
        <v>104</v>
      </c>
      <c r="D46" s="41" t="s">
        <v>152</v>
      </c>
      <c r="E46" s="46" t="s">
        <v>59</v>
      </c>
      <c r="F46" s="42">
        <v>2.0</v>
      </c>
      <c r="G46" s="35"/>
      <c r="H46" s="44"/>
    </row>
    <row r="47" spans="1:8" ht="15.0" hidden="1" x14ac:dyDescent="0.15">
      <c r="A47" s="41" t="s">
        <v>153</v>
      </c>
      <c r="B47" s="41" t="s">
        <v>37</v>
      </c>
      <c r="C47" s="41" t="s">
        <v>154</v>
      </c>
      <c r="D47" s="41" t="s">
        <v>155</v>
      </c>
      <c r="E47" s="46" t="s">
        <v>44</v>
      </c>
      <c r="F47" s="42">
        <v>2.0</v>
      </c>
      <c r="G47" s="35"/>
      <c r="H47" s="44"/>
    </row>
    <row r="48" spans="1:8" ht="15.0" hidden="1" x14ac:dyDescent="0.15">
      <c r="A48" s="41" t="s">
        <v>156</v>
      </c>
      <c r="B48" s="41" t="s">
        <v>37</v>
      </c>
      <c r="C48" s="41" t="s">
        <v>104</v>
      </c>
      <c r="D48" s="41" t="s">
        <v>157</v>
      </c>
      <c r="E48" s="46" t="s">
        <v>44</v>
      </c>
      <c r="F48" s="42">
        <v>2.0</v>
      </c>
      <c r="G48" s="44"/>
      <c r="H48" s="44"/>
    </row>
    <row r="49" spans="1:8" ht="15.0" hidden="1" x14ac:dyDescent="0.15">
      <c r="A49" s="41" t="s">
        <v>158</v>
      </c>
      <c r="B49" s="41" t="s">
        <v>37</v>
      </c>
      <c r="C49" s="41" t="s">
        <v>42</v>
      </c>
      <c r="D49" s="41" t="s">
        <v>159</v>
      </c>
      <c r="E49" s="46" t="s">
        <v>54</v>
      </c>
      <c r="F49" s="42">
        <v>2.0</v>
      </c>
      <c r="G49" s="35"/>
      <c r="H49" s="44"/>
    </row>
    <row r="50" spans="1:8" ht="15.0" hidden="1" x14ac:dyDescent="0.15">
      <c r="A50" s="41" t="s">
        <v>160</v>
      </c>
      <c r="B50" s="41" t="s">
        <v>37</v>
      </c>
      <c r="C50" s="41" t="s">
        <v>42</v>
      </c>
      <c r="D50" s="41" t="s">
        <v>161</v>
      </c>
      <c r="E50" s="46" t="s">
        <v>106</v>
      </c>
      <c r="F50" s="42">
        <v>2.0</v>
      </c>
      <c r="G50" s="35"/>
      <c r="H50" s="44"/>
    </row>
    <row r="51" spans="1:8" ht="15.0" hidden="1" x14ac:dyDescent="0.15">
      <c r="A51" s="41" t="s">
        <v>162</v>
      </c>
      <c r="B51" s="41" t="s">
        <v>37</v>
      </c>
      <c r="C51" s="41" t="s">
        <v>42</v>
      </c>
      <c r="D51" s="41" t="s">
        <v>163</v>
      </c>
      <c r="E51" s="46" t="s">
        <v>44</v>
      </c>
      <c r="F51" s="42">
        <v>2.0</v>
      </c>
      <c r="G51" s="44"/>
      <c r="H51" s="44"/>
    </row>
    <row r="52" spans="1:8" ht="15.0" hidden="1" x14ac:dyDescent="0.15">
      <c r="A52" s="41" t="s">
        <v>164</v>
      </c>
      <c r="B52" s="41" t="s">
        <v>37</v>
      </c>
      <c r="C52" s="41" t="s">
        <v>42</v>
      </c>
      <c r="D52" s="41" t="s">
        <v>165</v>
      </c>
      <c r="E52" s="46" t="s">
        <v>106</v>
      </c>
      <c r="F52" s="42">
        <v>2.0</v>
      </c>
      <c r="G52" s="44"/>
      <c r="H52" s="44"/>
    </row>
    <row r="53" spans="1:8" ht="15.0" hidden="1" x14ac:dyDescent="0.15">
      <c r="A53" s="41" t="s">
        <v>166</v>
      </c>
      <c r="B53" s="41" t="s">
        <v>37</v>
      </c>
      <c r="C53" s="41" t="s">
        <v>42</v>
      </c>
      <c r="D53" s="41" t="s">
        <v>167</v>
      </c>
      <c r="E53" s="46" t="s">
        <v>51</v>
      </c>
      <c r="F53" s="42">
        <v>2.0</v>
      </c>
      <c r="G53" s="44"/>
      <c r="H53" s="44"/>
    </row>
    <row r="54" spans="1:8" ht="15.0" hidden="1" x14ac:dyDescent="0.15">
      <c r="A54" s="41" t="s">
        <v>168</v>
      </c>
      <c r="B54" s="41" t="s">
        <v>37</v>
      </c>
      <c r="C54" s="41" t="s">
        <v>42</v>
      </c>
      <c r="D54" s="41" t="s">
        <v>169</v>
      </c>
      <c r="E54" s="46" t="s">
        <v>106</v>
      </c>
      <c r="F54" s="42">
        <v>2.0</v>
      </c>
      <c r="G54" s="44"/>
      <c r="H54" s="44"/>
    </row>
    <row r="55" spans="1:8" ht="15.0" hidden="1" x14ac:dyDescent="0.15">
      <c r="A55" s="41" t="s">
        <v>170</v>
      </c>
      <c r="B55" s="41" t="s">
        <v>37</v>
      </c>
      <c r="C55" s="41" t="s">
        <v>42</v>
      </c>
      <c r="D55" s="41" t="s">
        <v>171</v>
      </c>
      <c r="E55" s="46" t="s">
        <v>44</v>
      </c>
      <c r="F55" s="42">
        <v>2.0</v>
      </c>
      <c r="G55" s="44"/>
      <c r="H55" s="44"/>
    </row>
    <row r="56" spans="1:8" ht="15.0" hidden="1" x14ac:dyDescent="0.15">
      <c r="A56" s="41" t="s">
        <v>172</v>
      </c>
      <c r="B56" s="41" t="s">
        <v>37</v>
      </c>
      <c r="C56" s="41" t="s">
        <v>173</v>
      </c>
      <c r="D56" s="41" t="s">
        <v>174</v>
      </c>
      <c r="E56" s="46" t="s">
        <v>54</v>
      </c>
      <c r="F56" s="42">
        <v>2.0</v>
      </c>
      <c r="G56" s="35"/>
      <c r="H56" s="44"/>
    </row>
    <row r="57" spans="1:8" ht="15.0" hidden="1" x14ac:dyDescent="0.15">
      <c r="A57" s="41" t="s">
        <v>175</v>
      </c>
      <c r="B57" s="41" t="s">
        <v>37</v>
      </c>
      <c r="C57" s="41" t="s">
        <v>42</v>
      </c>
      <c r="D57" s="41" t="s">
        <v>176</v>
      </c>
      <c r="E57" s="46" t="s">
        <v>81</v>
      </c>
      <c r="F57" s="42">
        <v>2.0</v>
      </c>
      <c r="G57" s="35"/>
      <c r="H57" s="44"/>
    </row>
    <row r="58" spans="1:8" ht="15.0" hidden="1" x14ac:dyDescent="0.15">
      <c r="A58" s="41" t="s">
        <v>177</v>
      </c>
      <c r="B58" s="41" t="s">
        <v>37</v>
      </c>
      <c r="C58" s="41" t="s">
        <v>42</v>
      </c>
      <c r="D58" s="41" t="s">
        <v>178</v>
      </c>
      <c r="E58" s="46" t="s">
        <v>51</v>
      </c>
      <c r="F58" s="42">
        <v>2.0</v>
      </c>
      <c r="G58" s="35"/>
      <c r="H58" s="44"/>
    </row>
    <row r="59" spans="1:8" ht="15.0" hidden="1" x14ac:dyDescent="0.15">
      <c r="A59" s="41" t="s">
        <v>179</v>
      </c>
      <c r="B59" s="41" t="s">
        <v>37</v>
      </c>
      <c r="C59" s="41" t="s">
        <v>180</v>
      </c>
      <c r="D59" s="41" t="s">
        <v>178</v>
      </c>
      <c r="E59" s="46" t="s">
        <v>40</v>
      </c>
      <c r="F59" s="42">
        <v>2.0</v>
      </c>
      <c r="G59" s="35"/>
      <c r="H59" s="44"/>
    </row>
    <row r="60" spans="1:8" ht="15.0" hidden="1" x14ac:dyDescent="0.15">
      <c r="A60" s="41" t="s">
        <v>181</v>
      </c>
      <c r="B60" s="41" t="s">
        <v>37</v>
      </c>
      <c r="C60" s="41" t="s">
        <v>182</v>
      </c>
      <c r="D60" s="41" t="s">
        <v>183</v>
      </c>
      <c r="E60" s="46" t="s">
        <v>144</v>
      </c>
      <c r="F60" s="42">
        <v>2.0</v>
      </c>
      <c r="G60" s="35"/>
      <c r="H60" s="44"/>
    </row>
    <row r="61" spans="1:8" ht="15.0" hidden="1" x14ac:dyDescent="0.15">
      <c r="A61" s="41" t="s">
        <v>184</v>
      </c>
      <c r="B61" s="41" t="s">
        <v>37</v>
      </c>
      <c r="C61" s="41" t="s">
        <v>104</v>
      </c>
      <c r="D61" s="41" t="s">
        <v>185</v>
      </c>
      <c r="E61" s="46" t="s">
        <v>48</v>
      </c>
      <c r="F61" s="42">
        <v>2.0</v>
      </c>
      <c r="G61" s="35"/>
      <c r="H61" s="44"/>
    </row>
    <row r="62" spans="1:8" ht="15.0" hidden="1" x14ac:dyDescent="0.15">
      <c r="A62" s="41" t="s">
        <v>186</v>
      </c>
      <c r="B62" s="41" t="s">
        <v>37</v>
      </c>
      <c r="C62" s="41" t="s">
        <v>42</v>
      </c>
      <c r="D62" s="41" t="s">
        <v>187</v>
      </c>
      <c r="E62" s="46" t="s">
        <v>54</v>
      </c>
      <c r="F62" s="42">
        <v>2.0</v>
      </c>
      <c r="G62" s="35"/>
      <c r="H62" s="44"/>
    </row>
    <row r="63" spans="1:8" ht="15.0" hidden="1" x14ac:dyDescent="0.15">
      <c r="A63" s="41" t="s">
        <v>188</v>
      </c>
      <c r="B63" s="41" t="s">
        <v>37</v>
      </c>
      <c r="C63" s="41" t="s">
        <v>42</v>
      </c>
      <c r="D63" s="41" t="s">
        <v>189</v>
      </c>
      <c r="E63" s="46" t="s">
        <v>44</v>
      </c>
      <c r="F63" s="42">
        <v>2.0</v>
      </c>
      <c r="G63" s="35"/>
      <c r="H63" s="44"/>
    </row>
    <row r="64" spans="1:8" ht="15.0" hidden="1" x14ac:dyDescent="0.15">
      <c r="A64" s="41" t="s">
        <v>190</v>
      </c>
      <c r="B64" s="41" t="s">
        <v>37</v>
      </c>
      <c r="C64" s="41" t="s">
        <v>42</v>
      </c>
      <c r="D64" s="41" t="s">
        <v>191</v>
      </c>
      <c r="E64" s="46" t="s">
        <v>81</v>
      </c>
      <c r="F64" s="42">
        <v>2.0</v>
      </c>
      <c r="G64" s="35"/>
      <c r="H64" s="44"/>
    </row>
    <row r="65" spans="1:8" ht="15.0" hidden="1" x14ac:dyDescent="0.15">
      <c r="A65" s="41" t="s">
        <v>192</v>
      </c>
      <c r="B65" s="41" t="s">
        <v>37</v>
      </c>
      <c r="C65" s="41" t="s">
        <v>42</v>
      </c>
      <c r="D65" s="41" t="s">
        <v>193</v>
      </c>
      <c r="E65" s="46" t="s">
        <v>81</v>
      </c>
      <c r="F65" s="42">
        <v>2.0</v>
      </c>
      <c r="G65" s="35"/>
      <c r="H65" s="44"/>
    </row>
    <row r="66" spans="1:8" ht="15.0" hidden="1" x14ac:dyDescent="0.15">
      <c r="A66" s="41" t="s">
        <v>194</v>
      </c>
      <c r="B66" s="41" t="s">
        <v>37</v>
      </c>
      <c r="C66" s="41" t="s">
        <v>42</v>
      </c>
      <c r="D66" s="41" t="s">
        <v>195</v>
      </c>
      <c r="E66" s="46" t="s">
        <v>131</v>
      </c>
      <c r="F66" s="42">
        <v>2.0</v>
      </c>
      <c r="G66" s="35"/>
      <c r="H66" s="44"/>
    </row>
    <row r="67" spans="1:8" ht="15.0" hidden="1" x14ac:dyDescent="0.15">
      <c r="A67" s="41" t="s">
        <v>196</v>
      </c>
      <c r="B67" s="41" t="s">
        <v>37</v>
      </c>
      <c r="C67" s="41" t="s">
        <v>42</v>
      </c>
      <c r="D67" s="41" t="s">
        <v>197</v>
      </c>
      <c r="E67" s="46" t="s">
        <v>51</v>
      </c>
      <c r="F67" s="42">
        <v>2.0</v>
      </c>
      <c r="G67" s="35"/>
      <c r="H67" s="44"/>
    </row>
    <row r="68" spans="1:8" ht="15.0" hidden="1" x14ac:dyDescent="0.15">
      <c r="A68" s="41" t="s">
        <v>198</v>
      </c>
      <c r="B68" s="41" t="s">
        <v>37</v>
      </c>
      <c r="C68" s="41" t="s">
        <v>42</v>
      </c>
      <c r="D68" s="41" t="s">
        <v>199</v>
      </c>
      <c r="E68" s="46" t="s">
        <v>44</v>
      </c>
      <c r="F68" s="42">
        <v>2.0</v>
      </c>
      <c r="G68" s="44"/>
      <c r="H68" s="44"/>
    </row>
    <row r="69" spans="1:8" ht="15.0" hidden="1" x14ac:dyDescent="0.15">
      <c r="A69" s="41" t="s">
        <v>200</v>
      </c>
      <c r="B69" s="41" t="s">
        <v>37</v>
      </c>
      <c r="C69" s="41" t="s">
        <v>182</v>
      </c>
      <c r="D69" s="41" t="s">
        <v>201</v>
      </c>
      <c r="E69" s="46" t="s">
        <v>81</v>
      </c>
      <c r="F69" s="42">
        <v>2.0</v>
      </c>
      <c r="G69" s="35"/>
      <c r="H69" s="44"/>
    </row>
    <row r="70" spans="1:8" ht="15.0" hidden="1" x14ac:dyDescent="0.15">
      <c r="A70" s="41" t="s">
        <v>202</v>
      </c>
      <c r="B70" s="41" t="s">
        <v>37</v>
      </c>
      <c r="C70" s="41" t="s">
        <v>104</v>
      </c>
      <c r="D70" s="41" t="s">
        <v>203</v>
      </c>
      <c r="E70" s="46" t="s">
        <v>48</v>
      </c>
      <c r="F70" s="42">
        <v>2.0</v>
      </c>
      <c r="G70" s="44"/>
      <c r="H70" s="44"/>
    </row>
    <row r="71" spans="1:8" ht="15.0" hidden="1" x14ac:dyDescent="0.15">
      <c r="A71" s="41" t="s">
        <v>204</v>
      </c>
      <c r="B71" s="41" t="s">
        <v>37</v>
      </c>
      <c r="C71" s="41" t="s">
        <v>42</v>
      </c>
      <c r="D71" s="41" t="s">
        <v>205</v>
      </c>
      <c r="E71" s="46" t="s">
        <v>44</v>
      </c>
      <c r="F71" s="42">
        <v>2.0</v>
      </c>
      <c r="G71" s="35"/>
      <c r="H71" s="44"/>
    </row>
    <row r="72" spans="1:8" ht="15.0" hidden="1" x14ac:dyDescent="0.15">
      <c r="A72" s="41" t="s">
        <v>206</v>
      </c>
      <c r="B72" s="41" t="s">
        <v>37</v>
      </c>
      <c r="C72" s="41" t="s">
        <v>61</v>
      </c>
      <c r="D72" s="41" t="s">
        <v>207</v>
      </c>
      <c r="E72" s="46" t="s">
        <v>87</v>
      </c>
      <c r="F72" s="42">
        <v>2.0</v>
      </c>
      <c r="G72" s="35"/>
      <c r="H72" s="44"/>
    </row>
    <row r="73" spans="1:8" ht="15.0" hidden="1" x14ac:dyDescent="0.15">
      <c r="A73" s="41" t="s">
        <v>208</v>
      </c>
      <c r="B73" s="41" t="s">
        <v>37</v>
      </c>
      <c r="C73" s="41" t="s">
        <v>42</v>
      </c>
      <c r="D73" s="41" t="s">
        <v>209</v>
      </c>
      <c r="E73" s="46" t="s">
        <v>106</v>
      </c>
      <c r="F73" s="42">
        <v>2.0</v>
      </c>
      <c r="G73" s="35"/>
      <c r="H73" s="44"/>
    </row>
    <row r="74" spans="1:8" ht="15.0" hidden="1" x14ac:dyDescent="0.15">
      <c r="A74" s="41" t="s">
        <v>210</v>
      </c>
      <c r="B74" s="41" t="s">
        <v>37</v>
      </c>
      <c r="C74" s="41" t="s">
        <v>42</v>
      </c>
      <c r="D74" s="41" t="s">
        <v>211</v>
      </c>
      <c r="E74" s="46" t="s">
        <v>48</v>
      </c>
      <c r="F74" s="42">
        <v>2.0</v>
      </c>
      <c r="G74" s="35"/>
      <c r="H74" s="44"/>
    </row>
    <row r="75" spans="1:8" ht="15.0" hidden="1" x14ac:dyDescent="0.15">
      <c r="A75" s="41" t="s">
        <v>212</v>
      </c>
      <c r="B75" s="41" t="s">
        <v>37</v>
      </c>
      <c r="C75" s="41" t="s">
        <v>42</v>
      </c>
      <c r="D75" s="41" t="s">
        <v>213</v>
      </c>
      <c r="E75" s="46" t="s">
        <v>81</v>
      </c>
      <c r="F75" s="42">
        <v>2.0</v>
      </c>
      <c r="G75" s="35"/>
      <c r="H75" s="44"/>
    </row>
    <row r="76" spans="1:8" ht="15.0" hidden="1" x14ac:dyDescent="0.15">
      <c r="A76" s="41" t="s">
        <v>214</v>
      </c>
      <c r="B76" s="41" t="s">
        <v>37</v>
      </c>
      <c r="C76" s="41" t="s">
        <v>42</v>
      </c>
      <c r="D76" s="41" t="s">
        <v>215</v>
      </c>
      <c r="E76" s="46" t="s">
        <v>48</v>
      </c>
      <c r="F76" s="42">
        <v>2.0</v>
      </c>
      <c r="G76" s="35"/>
      <c r="H76" s="44"/>
    </row>
    <row r="77" spans="1:8" ht="15.0" hidden="1" x14ac:dyDescent="0.15">
      <c r="A77" s="41" t="s">
        <v>216</v>
      </c>
      <c r="B77" s="41" t="s">
        <v>37</v>
      </c>
      <c r="C77" s="41" t="s">
        <v>42</v>
      </c>
      <c r="D77" s="41" t="s">
        <v>217</v>
      </c>
      <c r="E77" s="46" t="s">
        <v>81</v>
      </c>
      <c r="F77" s="42">
        <v>2.0</v>
      </c>
      <c r="G77" s="35"/>
      <c r="H77" s="44"/>
    </row>
    <row r="78" spans="1:8" ht="15.0" hidden="1" x14ac:dyDescent="0.15">
      <c r="A78" s="41" t="s">
        <v>218</v>
      </c>
      <c r="B78" s="41" t="s">
        <v>37</v>
      </c>
      <c r="C78" s="41" t="s">
        <v>42</v>
      </c>
      <c r="D78" s="41" t="s">
        <v>219</v>
      </c>
      <c r="E78" s="46" t="s">
        <v>44</v>
      </c>
      <c r="F78" s="42">
        <v>2.0</v>
      </c>
      <c r="G78" s="35"/>
      <c r="H78" s="44"/>
    </row>
    <row r="79" spans="1:8" ht="15.0" hidden="1" x14ac:dyDescent="0.15">
      <c r="A79" s="41" t="s">
        <v>220</v>
      </c>
      <c r="B79" s="41" t="s">
        <v>37</v>
      </c>
      <c r="C79" s="41" t="s">
        <v>42</v>
      </c>
      <c r="D79" s="41" t="s">
        <v>221</v>
      </c>
      <c r="E79" s="46" t="s">
        <v>51</v>
      </c>
      <c r="F79" s="42">
        <v>2.0</v>
      </c>
      <c r="G79" s="44"/>
      <c r="H79" s="44"/>
    </row>
    <row r="80" spans="1:8" ht="15.0" hidden="1" x14ac:dyDescent="0.15">
      <c r="A80" s="41" t="s">
        <v>222</v>
      </c>
      <c r="B80" s="41" t="s">
        <v>37</v>
      </c>
      <c r="C80" s="41" t="s">
        <v>42</v>
      </c>
      <c r="D80" s="41" t="s">
        <v>223</v>
      </c>
      <c r="E80" s="46" t="s">
        <v>54</v>
      </c>
      <c r="F80" s="42">
        <v>2.0</v>
      </c>
      <c r="G80" s="44"/>
      <c r="H80" s="44"/>
    </row>
    <row r="81" spans="1:8" ht="15.0" hidden="1" x14ac:dyDescent="0.15">
      <c r="A81" s="41" t="s">
        <v>224</v>
      </c>
      <c r="B81" s="41" t="s">
        <v>37</v>
      </c>
      <c r="C81" s="41" t="s">
        <v>42</v>
      </c>
      <c r="D81" s="41" t="s">
        <v>225</v>
      </c>
      <c r="E81" s="46" t="s">
        <v>131</v>
      </c>
      <c r="F81" s="42">
        <v>2.0</v>
      </c>
      <c r="G81" s="35"/>
      <c r="H81" s="44"/>
    </row>
    <row r="82" spans="1:8" ht="15.0" hidden="1" x14ac:dyDescent="0.15">
      <c r="A82" s="41" t="s">
        <v>226</v>
      </c>
      <c r="B82" s="41" t="s">
        <v>37</v>
      </c>
      <c r="C82" s="41" t="s">
        <v>42</v>
      </c>
      <c r="D82" s="41" t="s">
        <v>227</v>
      </c>
      <c r="E82" s="46" t="s">
        <v>81</v>
      </c>
      <c r="F82" s="42">
        <v>2.0</v>
      </c>
      <c r="G82" s="44"/>
      <c r="H82" s="44"/>
    </row>
    <row r="83" spans="1:8" ht="15.0" hidden="1" x14ac:dyDescent="0.15">
      <c r="A83" s="41" t="s">
        <v>228</v>
      </c>
      <c r="B83" s="41" t="s">
        <v>37</v>
      </c>
      <c r="C83" s="41" t="s">
        <v>38</v>
      </c>
      <c r="D83" s="41" t="s">
        <v>229</v>
      </c>
      <c r="E83" s="46" t="s">
        <v>87</v>
      </c>
      <c r="F83" s="42">
        <v>2.0</v>
      </c>
      <c r="G83" s="35"/>
      <c r="H83" s="44"/>
    </row>
    <row r="84" spans="1:8" ht="15.0" hidden="1" x14ac:dyDescent="0.15">
      <c r="A84" s="41" t="s">
        <v>230</v>
      </c>
      <c r="B84" s="41" t="s">
        <v>37</v>
      </c>
      <c r="C84" s="41" t="s">
        <v>42</v>
      </c>
      <c r="D84" s="41" t="s">
        <v>231</v>
      </c>
      <c r="E84" s="46" t="s">
        <v>81</v>
      </c>
      <c r="F84" s="42">
        <v>2.0</v>
      </c>
      <c r="G84" s="44"/>
      <c r="H84" s="44"/>
    </row>
    <row r="85" spans="1:8" ht="15.0" hidden="1" x14ac:dyDescent="0.15">
      <c r="A85" s="41" t="s">
        <v>232</v>
      </c>
      <c r="B85" s="41" t="s">
        <v>37</v>
      </c>
      <c r="C85" s="41" t="s">
        <v>42</v>
      </c>
      <c r="D85" s="41" t="s">
        <v>233</v>
      </c>
      <c r="E85" s="46" t="s">
        <v>59</v>
      </c>
      <c r="F85" s="42">
        <v>2.0</v>
      </c>
      <c r="G85" s="35"/>
      <c r="H85" s="44"/>
    </row>
    <row r="86" spans="1:8" ht="15.0" hidden="1" x14ac:dyDescent="0.15">
      <c r="A86" s="41" t="s">
        <v>234</v>
      </c>
      <c r="B86" s="41" t="s">
        <v>37</v>
      </c>
      <c r="C86" s="41" t="s">
        <v>42</v>
      </c>
      <c r="D86" s="41" t="s">
        <v>235</v>
      </c>
      <c r="E86" s="46" t="s">
        <v>44</v>
      </c>
      <c r="F86" s="42">
        <v>2.0</v>
      </c>
      <c r="G86" s="35"/>
      <c r="H86" s="44"/>
    </row>
    <row r="87" spans="1:8" ht="15.0" hidden="1" x14ac:dyDescent="0.15">
      <c r="A87" s="41" t="s">
        <v>236</v>
      </c>
      <c r="B87" s="41" t="s">
        <v>37</v>
      </c>
      <c r="C87" s="41" t="s">
        <v>182</v>
      </c>
      <c r="D87" s="41" t="s">
        <v>237</v>
      </c>
      <c r="E87" s="46" t="s">
        <v>54</v>
      </c>
      <c r="F87" s="42">
        <v>2.0</v>
      </c>
      <c r="G87" s="35"/>
      <c r="H87" s="44"/>
    </row>
    <row r="88" spans="1:8" ht="15.0" hidden="1" x14ac:dyDescent="0.15">
      <c r="A88" s="41" t="s">
        <v>238</v>
      </c>
      <c r="B88" s="41" t="s">
        <v>37</v>
      </c>
      <c r="C88" s="41" t="s">
        <v>182</v>
      </c>
      <c r="D88" s="41" t="s">
        <v>239</v>
      </c>
      <c r="E88" s="46" t="s">
        <v>106</v>
      </c>
      <c r="F88" s="42">
        <v>2.0</v>
      </c>
      <c r="G88" s="35"/>
      <c r="H88" s="44"/>
    </row>
    <row r="89" spans="1:8" ht="15.0" hidden="1" x14ac:dyDescent="0.15">
      <c r="A89" s="41" t="s">
        <v>240</v>
      </c>
      <c r="B89" s="41" t="s">
        <v>37</v>
      </c>
      <c r="C89" s="41" t="s">
        <v>182</v>
      </c>
      <c r="D89" s="41" t="s">
        <v>241</v>
      </c>
      <c r="E89" s="46" t="s">
        <v>59</v>
      </c>
      <c r="F89" s="42">
        <v>2.0</v>
      </c>
      <c r="G89" s="44"/>
      <c r="H89" s="44"/>
    </row>
    <row r="90" spans="1:8" ht="15.0" hidden="1" x14ac:dyDescent="0.15">
      <c r="A90" s="41" t="s">
        <v>242</v>
      </c>
      <c r="B90" s="41" t="s">
        <v>37</v>
      </c>
      <c r="C90" s="41" t="s">
        <v>42</v>
      </c>
      <c r="D90" s="41" t="s">
        <v>243</v>
      </c>
      <c r="E90" s="46" t="s">
        <v>48</v>
      </c>
      <c r="F90" s="42">
        <v>2.0</v>
      </c>
      <c r="G90" s="35"/>
      <c r="H90" s="44"/>
    </row>
    <row r="91" spans="1:8" ht="15.0" hidden="1" x14ac:dyDescent="0.15">
      <c r="A91" s="41" t="s">
        <v>244</v>
      </c>
      <c r="B91" s="41" t="s">
        <v>37</v>
      </c>
      <c r="C91" s="41" t="s">
        <v>42</v>
      </c>
      <c r="D91" s="41" t="s">
        <v>245</v>
      </c>
      <c r="E91" s="46" t="s">
        <v>51</v>
      </c>
      <c r="F91" s="42">
        <v>2.0</v>
      </c>
      <c r="G91" s="44"/>
      <c r="H91" s="44"/>
    </row>
    <row r="92" spans="1:8" ht="15.0" hidden="1" x14ac:dyDescent="0.15">
      <c r="A92" s="41" t="s">
        <v>246</v>
      </c>
      <c r="B92" s="41" t="s">
        <v>37</v>
      </c>
      <c r="C92" s="41" t="s">
        <v>42</v>
      </c>
      <c r="D92" s="41" t="s">
        <v>247</v>
      </c>
      <c r="E92" s="46" t="s">
        <v>44</v>
      </c>
      <c r="F92" s="42">
        <v>2.0</v>
      </c>
      <c r="G92" s="44"/>
      <c r="H92" s="44"/>
    </row>
    <row r="93" spans="1:8" ht="15.0" hidden="1" x14ac:dyDescent="0.15">
      <c r="A93" s="41" t="s">
        <v>248</v>
      </c>
      <c r="B93" s="41" t="s">
        <v>37</v>
      </c>
      <c r="C93" s="41" t="s">
        <v>42</v>
      </c>
      <c r="D93" s="41" t="s">
        <v>249</v>
      </c>
      <c r="E93" s="46" t="s">
        <v>54</v>
      </c>
      <c r="F93" s="42">
        <v>2.0</v>
      </c>
      <c r="G93" s="44"/>
      <c r="H93" s="44"/>
    </row>
    <row r="94" spans="1:8" ht="15.0" hidden="1" x14ac:dyDescent="0.15">
      <c r="A94" s="41" t="s">
        <v>250</v>
      </c>
      <c r="B94" s="41" t="s">
        <v>37</v>
      </c>
      <c r="C94" s="41" t="s">
        <v>42</v>
      </c>
      <c r="D94" s="41" t="s">
        <v>251</v>
      </c>
      <c r="E94" s="46" t="s">
        <v>106</v>
      </c>
      <c r="F94" s="42">
        <v>2.0</v>
      </c>
      <c r="G94" s="35"/>
      <c r="H94" s="44"/>
    </row>
    <row r="95" spans="1:8" ht="15.0" hidden="1" x14ac:dyDescent="0.15">
      <c r="A95" s="41" t="s">
        <v>252</v>
      </c>
      <c r="B95" s="41" t="s">
        <v>37</v>
      </c>
      <c r="C95" s="41" t="s">
        <v>42</v>
      </c>
      <c r="D95" s="41" t="s">
        <v>253</v>
      </c>
      <c r="E95" s="46" t="s">
        <v>40</v>
      </c>
      <c r="F95" s="42">
        <v>2.0</v>
      </c>
      <c r="G95" s="44"/>
      <c r="H95" s="44"/>
    </row>
    <row r="96" spans="1:8" ht="15.0" hidden="1" x14ac:dyDescent="0.15">
      <c r="A96" s="41" t="s">
        <v>254</v>
      </c>
      <c r="B96" s="41" t="s">
        <v>37</v>
      </c>
      <c r="C96" s="41" t="s">
        <v>182</v>
      </c>
      <c r="D96" s="41" t="s">
        <v>255</v>
      </c>
      <c r="E96" s="46" t="s">
        <v>40</v>
      </c>
      <c r="F96" s="42">
        <v>2.0</v>
      </c>
      <c r="G96" s="44"/>
      <c r="H96" s="44"/>
    </row>
    <row r="97" spans="1:8" ht="15.0" hidden="1" x14ac:dyDescent="0.15">
      <c r="A97" s="41" t="s">
        <v>256</v>
      </c>
      <c r="B97" s="41" t="s">
        <v>37</v>
      </c>
      <c r="C97" s="41" t="s">
        <v>61</v>
      </c>
      <c r="D97" s="41" t="s">
        <v>257</v>
      </c>
      <c r="E97" s="46" t="s">
        <v>106</v>
      </c>
      <c r="F97" s="42">
        <v>2.0</v>
      </c>
      <c r="G97" s="44"/>
      <c r="H97" s="44"/>
    </row>
    <row r="98" spans="1:8" ht="15.0" hidden="1" x14ac:dyDescent="0.15">
      <c r="A98" s="41" t="s">
        <v>258</v>
      </c>
      <c r="B98" s="41" t="s">
        <v>37</v>
      </c>
      <c r="C98" s="41" t="s">
        <v>79</v>
      </c>
      <c r="D98" s="41" t="s">
        <v>259</v>
      </c>
      <c r="E98" s="46" t="s">
        <v>48</v>
      </c>
      <c r="F98" s="42">
        <v>2.0</v>
      </c>
      <c r="G98" s="44"/>
      <c r="H98" s="44"/>
    </row>
    <row r="99" spans="1:8" ht="15.0" hidden="1" x14ac:dyDescent="0.15">
      <c r="A99" s="41" t="s">
        <v>260</v>
      </c>
      <c r="B99" s="41" t="s">
        <v>37</v>
      </c>
      <c r="C99" s="41" t="s">
        <v>104</v>
      </c>
      <c r="D99" s="41" t="s">
        <v>261</v>
      </c>
      <c r="E99" s="46" t="s">
        <v>51</v>
      </c>
      <c r="F99" s="42">
        <v>2.0</v>
      </c>
      <c r="G99" s="44"/>
      <c r="H99" s="44"/>
    </row>
    <row r="100" spans="1:8" ht="15.0" hidden="1" x14ac:dyDescent="0.15">
      <c r="A100" s="41" t="s">
        <v>262</v>
      </c>
      <c r="B100" s="41" t="s">
        <v>37</v>
      </c>
      <c r="C100" s="41" t="s">
        <v>263</v>
      </c>
      <c r="D100" s="41" t="s">
        <v>178</v>
      </c>
      <c r="E100" s="46" t="s">
        <v>40</v>
      </c>
      <c r="F100" s="42">
        <v>2.0</v>
      </c>
      <c r="G100" s="35"/>
      <c r="H100" s="44"/>
    </row>
    <row r="101" spans="1:8" ht="15.0" hidden="1" x14ac:dyDescent="0.15">
      <c r="A101" s="41" t="s">
        <v>264</v>
      </c>
      <c r="B101" s="41" t="s">
        <v>37</v>
      </c>
      <c r="C101" s="41" t="s">
        <v>42</v>
      </c>
      <c r="D101" s="41" t="s">
        <v>265</v>
      </c>
      <c r="E101" s="46" t="s">
        <v>40</v>
      </c>
      <c r="F101" s="42">
        <v>2.0</v>
      </c>
      <c r="G101" s="44"/>
      <c r="H101" s="44"/>
    </row>
    <row r="102" spans="1:8" ht="15.0" hidden="1" x14ac:dyDescent="0.15">
      <c r="A102" s="41" t="s">
        <v>266</v>
      </c>
      <c r="B102" s="41" t="s">
        <v>37</v>
      </c>
      <c r="C102" s="41" t="s">
        <v>42</v>
      </c>
      <c r="D102" s="41" t="s">
        <v>178</v>
      </c>
      <c r="E102" s="46" t="s">
        <v>40</v>
      </c>
      <c r="F102" s="42">
        <v>2.0</v>
      </c>
      <c r="G102" s="44"/>
      <c r="H102" s="44"/>
    </row>
    <row r="103" spans="1:8" ht="15.0" hidden="1" x14ac:dyDescent="0.15">
      <c r="A103" s="41" t="s">
        <v>267</v>
      </c>
      <c r="B103" s="41" t="s">
        <v>37</v>
      </c>
      <c r="C103" s="41" t="s">
        <v>42</v>
      </c>
      <c r="D103" s="41" t="s">
        <v>268</v>
      </c>
      <c r="E103" s="46" t="s">
        <v>54</v>
      </c>
      <c r="F103" s="42">
        <v>2.0</v>
      </c>
      <c r="G103" s="44"/>
      <c r="H103" s="44"/>
    </row>
    <row r="104" spans="1:8" ht="15.0" hidden="1" x14ac:dyDescent="0.15">
      <c r="A104" s="41" t="s">
        <v>269</v>
      </c>
      <c r="B104" s="41" t="s">
        <v>37</v>
      </c>
      <c r="C104" s="41" t="s">
        <v>42</v>
      </c>
      <c r="D104" s="41" t="s">
        <v>270</v>
      </c>
      <c r="E104" s="46" t="s">
        <v>106</v>
      </c>
      <c r="F104" s="42">
        <v>2.0</v>
      </c>
      <c r="G104" s="44"/>
      <c r="H104" s="44"/>
    </row>
    <row r="105" spans="1:8" ht="15.0" hidden="1" x14ac:dyDescent="0.15">
      <c r="A105" s="41" t="s">
        <v>271</v>
      </c>
      <c r="B105" s="41" t="s">
        <v>37</v>
      </c>
      <c r="C105" s="41" t="s">
        <v>42</v>
      </c>
      <c r="D105" s="41" t="s">
        <v>272</v>
      </c>
      <c r="E105" s="46" t="s">
        <v>54</v>
      </c>
      <c r="F105" s="42">
        <v>2.0</v>
      </c>
      <c r="G105" s="35"/>
      <c r="H105" s="44"/>
    </row>
    <row r="106" spans="1:8" ht="15.0" hidden="1" x14ac:dyDescent="0.15">
      <c r="A106" s="41" t="s">
        <v>273</v>
      </c>
      <c r="B106" s="41" t="s">
        <v>37</v>
      </c>
      <c r="C106" s="41" t="s">
        <v>42</v>
      </c>
      <c r="D106" s="41" t="s">
        <v>274</v>
      </c>
      <c r="E106" s="46" t="s">
        <v>81</v>
      </c>
      <c r="F106" s="42">
        <v>2.0</v>
      </c>
      <c r="G106" s="44"/>
      <c r="H106" s="44"/>
    </row>
    <row r="107" spans="1:8" ht="15.0" hidden="1" x14ac:dyDescent="0.15">
      <c r="A107" s="41" t="s">
        <v>275</v>
      </c>
      <c r="B107" s="41" t="s">
        <v>37</v>
      </c>
      <c r="C107" s="41" t="s">
        <v>42</v>
      </c>
      <c r="D107" s="41" t="s">
        <v>276</v>
      </c>
      <c r="E107" s="46" t="s">
        <v>44</v>
      </c>
      <c r="F107" s="42">
        <v>2.0</v>
      </c>
      <c r="G107" s="35"/>
      <c r="H107" s="44"/>
    </row>
    <row r="108" spans="1:8" ht="15.0" hidden="1" x14ac:dyDescent="0.15">
      <c r="A108" s="41" t="s">
        <v>277</v>
      </c>
      <c r="B108" s="41" t="s">
        <v>37</v>
      </c>
      <c r="C108" s="41" t="s">
        <v>42</v>
      </c>
      <c r="D108" s="41" t="s">
        <v>278</v>
      </c>
      <c r="E108" s="46" t="s">
        <v>59</v>
      </c>
      <c r="F108" s="42">
        <v>2.0</v>
      </c>
      <c r="G108" s="44"/>
      <c r="H108" s="44"/>
    </row>
    <row r="109" spans="1:8" ht="15.0" hidden="1" x14ac:dyDescent="0.15">
      <c r="A109" s="41" t="s">
        <v>279</v>
      </c>
      <c r="B109" s="41" t="s">
        <v>37</v>
      </c>
      <c r="C109" s="41" t="s">
        <v>42</v>
      </c>
      <c r="D109" s="41" t="s">
        <v>280</v>
      </c>
      <c r="E109" s="46" t="s">
        <v>81</v>
      </c>
      <c r="F109" s="42">
        <v>2.0</v>
      </c>
      <c r="G109" s="35"/>
      <c r="H109" s="44"/>
    </row>
    <row r="110" spans="1:8" ht="15.0" hidden="1" x14ac:dyDescent="0.15">
      <c r="A110" s="41" t="s">
        <v>281</v>
      </c>
      <c r="B110" s="41" t="s">
        <v>37</v>
      </c>
      <c r="C110" s="41" t="s">
        <v>42</v>
      </c>
      <c r="D110" s="41" t="s">
        <v>282</v>
      </c>
      <c r="E110" s="46" t="s">
        <v>81</v>
      </c>
      <c r="F110" s="42">
        <v>2.0</v>
      </c>
      <c r="G110" s="35"/>
      <c r="H110" s="44"/>
    </row>
    <row r="111" spans="1:8" ht="15.0" hidden="1" x14ac:dyDescent="0.15">
      <c r="A111" s="41" t="s">
        <v>283</v>
      </c>
      <c r="B111" s="41" t="s">
        <v>37</v>
      </c>
      <c r="C111" s="41" t="s">
        <v>42</v>
      </c>
      <c r="D111" s="41" t="s">
        <v>284</v>
      </c>
      <c r="E111" s="46" t="s">
        <v>54</v>
      </c>
      <c r="F111" s="42">
        <v>2.0</v>
      </c>
      <c r="G111" s="44"/>
      <c r="H111" s="44"/>
    </row>
    <row r="112" spans="1:8" ht="15.0" hidden="1" x14ac:dyDescent="0.15">
      <c r="A112" s="41" t="s">
        <v>285</v>
      </c>
      <c r="B112" s="41" t="s">
        <v>37</v>
      </c>
      <c r="C112" s="41" t="s">
        <v>42</v>
      </c>
      <c r="D112" s="41" t="s">
        <v>286</v>
      </c>
      <c r="E112" s="46" t="s">
        <v>59</v>
      </c>
      <c r="F112" s="42">
        <v>2.0</v>
      </c>
      <c r="G112" s="44"/>
      <c r="H112" s="44"/>
    </row>
    <row r="113" spans="1:8" ht="15.0" hidden="1" x14ac:dyDescent="0.15">
      <c r="A113" s="41" t="s">
        <v>287</v>
      </c>
      <c r="B113" s="41" t="s">
        <v>37</v>
      </c>
      <c r="C113" s="41" t="s">
        <v>38</v>
      </c>
      <c r="D113" s="41" t="s">
        <v>288</v>
      </c>
      <c r="E113" s="46" t="s">
        <v>87</v>
      </c>
      <c r="F113" s="42">
        <v>2.0</v>
      </c>
      <c r="G113" s="35"/>
      <c r="H113" s="44"/>
    </row>
    <row r="114" spans="1:8" ht="15.0" hidden="1" x14ac:dyDescent="0.15">
      <c r="A114" s="41" t="s">
        <v>289</v>
      </c>
      <c r="B114" s="41" t="s">
        <v>37</v>
      </c>
      <c r="C114" s="41" t="s">
        <v>182</v>
      </c>
      <c r="D114" s="41" t="s">
        <v>290</v>
      </c>
      <c r="E114" s="46" t="s">
        <v>44</v>
      </c>
      <c r="F114" s="42">
        <v>2.0</v>
      </c>
      <c r="G114" s="44"/>
      <c r="H114" s="44"/>
    </row>
    <row r="115" spans="1:8" ht="15.0" hidden="1" x14ac:dyDescent="0.15">
      <c r="A115" s="41" t="s">
        <v>291</v>
      </c>
      <c r="B115" s="41" t="s">
        <v>37</v>
      </c>
      <c r="C115" s="41" t="s">
        <v>42</v>
      </c>
      <c r="D115" s="41" t="s">
        <v>292</v>
      </c>
      <c r="E115" s="46" t="s">
        <v>44</v>
      </c>
      <c r="F115" s="42">
        <v>2.0</v>
      </c>
      <c r="G115" s="44"/>
      <c r="H115" s="44"/>
    </row>
    <row r="116" spans="1:8" ht="15.0" hidden="1" x14ac:dyDescent="0.15">
      <c r="A116" s="41" t="s">
        <v>293</v>
      </c>
      <c r="B116" s="41" t="s">
        <v>37</v>
      </c>
      <c r="C116" s="41" t="s">
        <v>42</v>
      </c>
      <c r="D116" s="41" t="s">
        <v>294</v>
      </c>
      <c r="E116" s="46" t="s">
        <v>87</v>
      </c>
      <c r="F116" s="42">
        <v>2.0</v>
      </c>
      <c r="G116" s="44"/>
      <c r="H116" s="44"/>
    </row>
    <row r="117" spans="1:8" ht="15.0" hidden="1" x14ac:dyDescent="0.15">
      <c r="A117" s="41" t="s">
        <v>295</v>
      </c>
      <c r="B117" s="41" t="s">
        <v>37</v>
      </c>
      <c r="C117" s="41" t="s">
        <v>42</v>
      </c>
      <c r="D117" s="41" t="s">
        <v>296</v>
      </c>
      <c r="E117" s="46" t="s">
        <v>87</v>
      </c>
      <c r="F117" s="42">
        <v>2.0</v>
      </c>
      <c r="G117" s="44"/>
      <c r="H117" s="44"/>
    </row>
    <row r="118" spans="1:8" ht="15.0" hidden="1" x14ac:dyDescent="0.15">
      <c r="A118" s="41" t="s">
        <v>297</v>
      </c>
      <c r="B118" s="41" t="s">
        <v>37</v>
      </c>
      <c r="C118" s="41" t="s">
        <v>42</v>
      </c>
      <c r="D118" s="41" t="s">
        <v>298</v>
      </c>
      <c r="E118" s="46" t="s">
        <v>54</v>
      </c>
      <c r="F118" s="42">
        <v>2.0</v>
      </c>
      <c r="G118" s="35"/>
      <c r="H118" s="44"/>
    </row>
    <row r="119" spans="1:8" ht="15.0" hidden="1" x14ac:dyDescent="0.15">
      <c r="A119" s="41" t="s">
        <v>299</v>
      </c>
      <c r="B119" s="41" t="s">
        <v>37</v>
      </c>
      <c r="C119" s="41" t="s">
        <v>42</v>
      </c>
      <c r="D119" s="41" t="s">
        <v>300</v>
      </c>
      <c r="E119" s="46" t="s">
        <v>106</v>
      </c>
      <c r="F119" s="42">
        <v>2.0</v>
      </c>
      <c r="G119" s="35"/>
      <c r="H119" s="44"/>
    </row>
    <row r="120" spans="1:8" ht="15.0" hidden="1" x14ac:dyDescent="0.15">
      <c r="A120" s="41" t="s">
        <v>301</v>
      </c>
      <c r="B120" s="41" t="s">
        <v>37</v>
      </c>
      <c r="C120" s="41" t="s">
        <v>42</v>
      </c>
      <c r="D120" s="41" t="s">
        <v>302</v>
      </c>
      <c r="E120" s="46" t="s">
        <v>59</v>
      </c>
      <c r="F120" s="42">
        <v>2.0</v>
      </c>
      <c r="G120" s="35"/>
      <c r="H120" s="44"/>
    </row>
    <row r="121" spans="1:8" ht="15.0" hidden="1" x14ac:dyDescent="0.15">
      <c r="A121" s="41" t="s">
        <v>303</v>
      </c>
      <c r="B121" s="41" t="s">
        <v>37</v>
      </c>
      <c r="C121" s="41" t="s">
        <v>42</v>
      </c>
      <c r="D121" s="41" t="s">
        <v>304</v>
      </c>
      <c r="E121" s="46" t="s">
        <v>81</v>
      </c>
      <c r="F121" s="42">
        <v>2.0</v>
      </c>
      <c r="G121" s="44"/>
      <c r="H121" s="44"/>
    </row>
    <row r="122" spans="1:8" x14ac:dyDescent="0.15">
      <c r="A122" s="41" t="s">
        <v>305</v>
      </c>
      <c r="B122" s="41" t="s">
        <v>306</v>
      </c>
      <c r="C122" s="41" t="s">
        <v>307</v>
      </c>
      <c r="D122" s="41" t="s">
        <v>233</v>
      </c>
      <c r="E122" s="41" t="s">
        <v>308</v>
      </c>
      <c r="F122" s="42">
        <v>2.0</v>
      </c>
      <c r="G122" s="41" t="s">
        <v>309</v>
      </c>
      <c r="H122" s="41" t="s">
        <v>309</v>
      </c>
    </row>
    <row r="123" spans="1:8" x14ac:dyDescent="0.15">
      <c r="A123" s="41" t="s">
        <v>310</v>
      </c>
      <c r="B123" s="41" t="s">
        <v>306</v>
      </c>
      <c r="C123" s="41" t="s">
        <v>307</v>
      </c>
      <c r="D123" s="41" t="s">
        <v>233</v>
      </c>
      <c r="E123" s="41" t="s">
        <v>311</v>
      </c>
      <c r="F123" s="42">
        <v>2.0</v>
      </c>
      <c r="G123" s="41" t="s">
        <v>309</v>
      </c>
      <c r="H123" s="41" t="s">
        <v>309</v>
      </c>
    </row>
    <row r="124" spans="1:8" x14ac:dyDescent="0.15">
      <c r="A124" s="41" t="s">
        <v>312</v>
      </c>
      <c r="B124" s="41" t="s">
        <v>306</v>
      </c>
      <c r="C124" s="41" t="s">
        <v>307</v>
      </c>
      <c r="D124" s="41" t="s">
        <v>313</v>
      </c>
      <c r="E124" s="41" t="s">
        <v>314</v>
      </c>
      <c r="F124" s="55">
        <v>2.0</v>
      </c>
      <c r="G124" s="41" t="s">
        <v>309</v>
      </c>
      <c r="H124" s="41" t="s">
        <v>309</v>
      </c>
    </row>
    <row r="125" spans="1:8" x14ac:dyDescent="0.15">
      <c r="A125" s="41" t="s">
        <v>315</v>
      </c>
      <c r="B125" s="41" t="s">
        <v>306</v>
      </c>
      <c r="C125" s="41" t="s">
        <v>307</v>
      </c>
      <c r="D125" s="41" t="s">
        <v>316</v>
      </c>
      <c r="E125" s="41" t="s">
        <v>317</v>
      </c>
      <c r="F125" s="42">
        <v>2.0</v>
      </c>
      <c r="G125" s="41" t="s">
        <v>309</v>
      </c>
      <c r="H125" s="41" t="s">
        <v>309</v>
      </c>
    </row>
    <row r="126" spans="1:8" x14ac:dyDescent="0.15">
      <c r="A126" s="41" t="s">
        <v>318</v>
      </c>
      <c r="B126" s="41" t="s">
        <v>306</v>
      </c>
      <c r="C126" s="41" t="s">
        <v>307</v>
      </c>
      <c r="D126" s="41" t="s">
        <v>319</v>
      </c>
      <c r="E126" s="41" t="s">
        <v>320</v>
      </c>
      <c r="F126" s="55">
        <v>2.0</v>
      </c>
      <c r="G126" s="41" t="s">
        <v>309</v>
      </c>
      <c r="H126" s="41" t="s">
        <v>309</v>
      </c>
    </row>
    <row r="127" spans="1:8" x14ac:dyDescent="0.15">
      <c r="A127" s="41" t="s">
        <v>321</v>
      </c>
      <c r="B127" s="41" t="s">
        <v>306</v>
      </c>
      <c r="C127" s="41" t="s">
        <v>307</v>
      </c>
      <c r="D127" s="41" t="s">
        <v>322</v>
      </c>
      <c r="E127" s="41" t="s">
        <v>323</v>
      </c>
      <c r="F127" s="55">
        <v>2.0</v>
      </c>
      <c r="G127" s="41" t="s">
        <v>309</v>
      </c>
      <c r="H127" s="41" t="s">
        <v>309</v>
      </c>
    </row>
    <row r="128" spans="1:8" x14ac:dyDescent="0.15">
      <c r="A128" s="41" t="s">
        <v>324</v>
      </c>
      <c r="B128" s="41" t="s">
        <v>306</v>
      </c>
      <c r="C128" s="41" t="s">
        <v>307</v>
      </c>
      <c r="D128" s="41" t="s">
        <v>316</v>
      </c>
      <c r="E128" s="41" t="s">
        <v>325</v>
      </c>
      <c r="F128" s="42">
        <v>2.0</v>
      </c>
      <c r="G128" s="41" t="s">
        <v>309</v>
      </c>
      <c r="H128" s="41" t="s">
        <v>309</v>
      </c>
    </row>
    <row r="129" spans="1:8" x14ac:dyDescent="0.15">
      <c r="A129" s="41" t="s">
        <v>326</v>
      </c>
      <c r="B129" s="41" t="s">
        <v>306</v>
      </c>
      <c r="C129" s="41" t="s">
        <v>307</v>
      </c>
      <c r="D129" s="41" t="s">
        <v>233</v>
      </c>
      <c r="E129" s="41" t="s">
        <v>327</v>
      </c>
      <c r="F129" s="42">
        <v>2.0</v>
      </c>
      <c r="G129" s="41" t="s">
        <v>309</v>
      </c>
      <c r="H129" s="41" t="s">
        <v>309</v>
      </c>
    </row>
    <row r="130" spans="1:8" x14ac:dyDescent="0.15">
      <c r="A130" s="41" t="s">
        <v>328</v>
      </c>
      <c r="B130" s="41" t="s">
        <v>306</v>
      </c>
      <c r="C130" s="41" t="s">
        <v>307</v>
      </c>
      <c r="D130" s="41" t="s">
        <v>329</v>
      </c>
      <c r="E130" s="41" t="s">
        <v>329</v>
      </c>
      <c r="F130" s="42">
        <v>2.0</v>
      </c>
      <c r="G130" s="41" t="s">
        <v>309</v>
      </c>
      <c r="H130" s="41" t="s">
        <v>309</v>
      </c>
    </row>
    <row r="131" spans="1:8" x14ac:dyDescent="0.15">
      <c r="A131" s="41" t="s">
        <v>330</v>
      </c>
      <c r="B131" s="41" t="s">
        <v>306</v>
      </c>
      <c r="C131" s="41" t="s">
        <v>307</v>
      </c>
      <c r="D131" s="41" t="s">
        <v>233</v>
      </c>
      <c r="E131" s="41" t="s">
        <v>331</v>
      </c>
      <c r="F131" s="42">
        <v>2.0</v>
      </c>
      <c r="G131" s="41" t="s">
        <v>309</v>
      </c>
      <c r="H131" s="41" t="s">
        <v>309</v>
      </c>
    </row>
    <row r="132" spans="1:8" x14ac:dyDescent="0.15">
      <c r="A132" s="41" t="s">
        <v>332</v>
      </c>
      <c r="B132" s="41" t="s">
        <v>306</v>
      </c>
      <c r="C132" s="41" t="s">
        <v>307</v>
      </c>
      <c r="D132" s="41" t="s">
        <v>319</v>
      </c>
      <c r="E132" s="41" t="s">
        <v>333</v>
      </c>
      <c r="F132" s="55">
        <v>2.0</v>
      </c>
      <c r="G132" s="41" t="s">
        <v>309</v>
      </c>
      <c r="H132" s="41" t="s">
        <v>309</v>
      </c>
    </row>
    <row r="133" spans="1:8" x14ac:dyDescent="0.15">
      <c r="A133" s="41" t="s">
        <v>334</v>
      </c>
      <c r="B133" s="41" t="s">
        <v>306</v>
      </c>
      <c r="C133" s="41" t="s">
        <v>307</v>
      </c>
      <c r="D133" s="41" t="s">
        <v>335</v>
      </c>
      <c r="E133" s="41" t="s">
        <v>336</v>
      </c>
      <c r="F133" s="55">
        <v>2.0</v>
      </c>
      <c r="G133" s="41" t="s">
        <v>309</v>
      </c>
      <c r="H133" s="41" t="s">
        <v>309</v>
      </c>
    </row>
    <row r="134" spans="1:8" x14ac:dyDescent="0.15">
      <c r="A134" s="41" t="s">
        <v>337</v>
      </c>
      <c r="B134" s="41" t="s">
        <v>306</v>
      </c>
      <c r="C134" s="41" t="s">
        <v>307</v>
      </c>
      <c r="D134" s="41" t="s">
        <v>233</v>
      </c>
      <c r="E134" s="41" t="s">
        <v>338</v>
      </c>
      <c r="F134" s="42">
        <v>2.0</v>
      </c>
      <c r="G134" s="41" t="s">
        <v>309</v>
      </c>
      <c r="H134" s="41" t="s">
        <v>309</v>
      </c>
    </row>
    <row r="135" spans="1:8" x14ac:dyDescent="0.15">
      <c r="A135" s="41" t="s">
        <v>339</v>
      </c>
      <c r="B135" s="41" t="s">
        <v>306</v>
      </c>
      <c r="C135" s="41" t="s">
        <v>307</v>
      </c>
      <c r="D135" s="41" t="s">
        <v>340</v>
      </c>
      <c r="E135" s="41" t="s">
        <v>341</v>
      </c>
      <c r="F135" s="42">
        <v>2.0</v>
      </c>
      <c r="G135" s="41" t="s">
        <v>309</v>
      </c>
      <c r="H135" s="41" t="s">
        <v>309</v>
      </c>
    </row>
    <row r="136" spans="1:8" x14ac:dyDescent="0.15">
      <c r="A136" s="41" t="s">
        <v>342</v>
      </c>
      <c r="B136" s="41" t="s">
        <v>306</v>
      </c>
      <c r="C136" s="41" t="s">
        <v>307</v>
      </c>
      <c r="D136" s="41" t="s">
        <v>233</v>
      </c>
      <c r="E136" s="41" t="s">
        <v>343</v>
      </c>
      <c r="F136" s="42">
        <v>2.0</v>
      </c>
      <c r="G136" s="41" t="s">
        <v>309</v>
      </c>
      <c r="H136" s="41" t="s">
        <v>309</v>
      </c>
    </row>
    <row r="137" spans="1:8" x14ac:dyDescent="0.15">
      <c r="A137" s="41" t="s">
        <v>344</v>
      </c>
      <c r="B137" s="41" t="s">
        <v>306</v>
      </c>
      <c r="C137" s="41" t="s">
        <v>307</v>
      </c>
      <c r="D137" s="41" t="s">
        <v>233</v>
      </c>
      <c r="E137" s="41" t="s">
        <v>345</v>
      </c>
      <c r="F137" s="42">
        <v>2.0</v>
      </c>
      <c r="G137" s="41" t="s">
        <v>309</v>
      </c>
      <c r="H137" s="41" t="s">
        <v>309</v>
      </c>
    </row>
    <row r="138" spans="1:8" x14ac:dyDescent="0.15">
      <c r="A138" s="41" t="s">
        <v>346</v>
      </c>
      <c r="B138" s="41" t="s">
        <v>306</v>
      </c>
      <c r="C138" s="41" t="s">
        <v>307</v>
      </c>
      <c r="D138" s="41" t="s">
        <v>347</v>
      </c>
      <c r="E138" s="41" t="s">
        <v>348</v>
      </c>
      <c r="F138" s="55">
        <v>2.0</v>
      </c>
      <c r="G138" s="41" t="s">
        <v>309</v>
      </c>
      <c r="H138" s="41" t="s">
        <v>309</v>
      </c>
    </row>
    <row r="139" spans="1:8" x14ac:dyDescent="0.15">
      <c r="A139" s="41" t="s">
        <v>349</v>
      </c>
      <c r="B139" s="41" t="s">
        <v>306</v>
      </c>
      <c r="C139" s="41" t="s">
        <v>307</v>
      </c>
      <c r="D139" s="41" t="s">
        <v>350</v>
      </c>
      <c r="E139" s="41" t="s">
        <v>351</v>
      </c>
      <c r="F139" s="42">
        <v>2.0</v>
      </c>
      <c r="G139" s="41" t="s">
        <v>309</v>
      </c>
      <c r="H139" s="41" t="s">
        <v>309</v>
      </c>
    </row>
    <row r="140" spans="1:8" x14ac:dyDescent="0.15">
      <c r="A140" s="41" t="s">
        <v>352</v>
      </c>
      <c r="B140" s="41" t="s">
        <v>306</v>
      </c>
      <c r="C140" s="41" t="s">
        <v>307</v>
      </c>
      <c r="D140" s="41" t="s">
        <v>319</v>
      </c>
      <c r="E140" s="41" t="s">
        <v>353</v>
      </c>
      <c r="F140" s="42">
        <v>2.0</v>
      </c>
      <c r="G140" s="41" t="s">
        <v>309</v>
      </c>
      <c r="H140" s="41" t="s">
        <v>309</v>
      </c>
    </row>
    <row r="141" spans="1:8" x14ac:dyDescent="0.15">
      <c r="A141" s="41" t="s">
        <v>354</v>
      </c>
      <c r="B141" s="41" t="s">
        <v>306</v>
      </c>
      <c r="C141" s="41" t="s">
        <v>307</v>
      </c>
      <c r="D141" s="41" t="s">
        <v>319</v>
      </c>
      <c r="E141" s="41" t="s">
        <v>355</v>
      </c>
      <c r="F141" s="42">
        <v>2.0</v>
      </c>
      <c r="G141" s="41" t="s">
        <v>309</v>
      </c>
      <c r="H141" s="41" t="s">
        <v>309</v>
      </c>
    </row>
    <row r="142" spans="1:8" x14ac:dyDescent="0.15">
      <c r="A142" s="41" t="s">
        <v>356</v>
      </c>
      <c r="B142" s="41" t="s">
        <v>306</v>
      </c>
      <c r="C142" s="41" t="s">
        <v>307</v>
      </c>
      <c r="D142" s="41" t="s">
        <v>357</v>
      </c>
      <c r="E142" s="41" t="s">
        <v>358</v>
      </c>
      <c r="F142" s="55">
        <v>2.0</v>
      </c>
      <c r="G142" s="41" t="s">
        <v>309</v>
      </c>
      <c r="H142" s="41" t="s">
        <v>309</v>
      </c>
    </row>
    <row r="143" spans="1:8" x14ac:dyDescent="0.15">
      <c r="A143" s="41" t="s">
        <v>359</v>
      </c>
      <c r="B143" s="41" t="s">
        <v>306</v>
      </c>
      <c r="C143" s="41" t="s">
        <v>307</v>
      </c>
      <c r="D143" s="41" t="s">
        <v>217</v>
      </c>
      <c r="E143" s="41" t="s">
        <v>360</v>
      </c>
      <c r="F143" s="42">
        <v>2.0</v>
      </c>
      <c r="G143" s="41" t="s">
        <v>309</v>
      </c>
      <c r="H143" s="41" t="s">
        <v>309</v>
      </c>
    </row>
    <row r="144" spans="1:8" x14ac:dyDescent="0.15">
      <c r="A144" s="41" t="s">
        <v>361</v>
      </c>
      <c r="B144" s="41" t="s">
        <v>306</v>
      </c>
      <c r="C144" s="41" t="s">
        <v>307</v>
      </c>
      <c r="D144" s="41" t="s">
        <v>362</v>
      </c>
      <c r="E144" s="41" t="s">
        <v>363</v>
      </c>
      <c r="F144" s="42">
        <v>2.0</v>
      </c>
      <c r="G144" s="41" t="s">
        <v>309</v>
      </c>
      <c r="H144" s="41" t="s">
        <v>309</v>
      </c>
    </row>
    <row r="145" spans="1:8" x14ac:dyDescent="0.15">
      <c r="A145" s="41" t="s">
        <v>364</v>
      </c>
      <c r="B145" s="41" t="s">
        <v>306</v>
      </c>
      <c r="C145" s="41" t="s">
        <v>307</v>
      </c>
      <c r="D145" s="41" t="s">
        <v>365</v>
      </c>
      <c r="E145" s="41" t="s">
        <v>366</v>
      </c>
      <c r="F145" s="55">
        <v>2.0</v>
      </c>
      <c r="G145" s="41" t="s">
        <v>309</v>
      </c>
      <c r="H145" s="41" t="s">
        <v>309</v>
      </c>
    </row>
    <row r="146" spans="1:8" x14ac:dyDescent="0.15">
      <c r="A146" s="41" t="s">
        <v>367</v>
      </c>
      <c r="B146" s="41" t="s">
        <v>306</v>
      </c>
      <c r="C146" s="41" t="s">
        <v>307</v>
      </c>
      <c r="D146" s="41" t="s">
        <v>368</v>
      </c>
      <c r="E146" s="41" t="s">
        <v>323</v>
      </c>
      <c r="F146" s="55">
        <v>2.0</v>
      </c>
      <c r="G146" s="41" t="s">
        <v>309</v>
      </c>
      <c r="H146" s="41" t="s">
        <v>309</v>
      </c>
    </row>
    <row r="147" spans="1:8" x14ac:dyDescent="0.15">
      <c r="A147" s="41" t="s">
        <v>369</v>
      </c>
      <c r="B147" s="41" t="s">
        <v>306</v>
      </c>
      <c r="C147" s="41" t="s">
        <v>307</v>
      </c>
      <c r="D147" s="41" t="s">
        <v>370</v>
      </c>
      <c r="E147" s="41" t="s">
        <v>371</v>
      </c>
      <c r="F147" s="42">
        <v>2.0</v>
      </c>
      <c r="G147" s="41" t="s">
        <v>309</v>
      </c>
      <c r="H147" s="41" t="s">
        <v>309</v>
      </c>
    </row>
    <row r="148" spans="1:8" x14ac:dyDescent="0.15">
      <c r="A148" s="41" t="s">
        <v>372</v>
      </c>
      <c r="B148" s="41" t="s">
        <v>306</v>
      </c>
      <c r="C148" s="50" t="s">
        <v>307</v>
      </c>
      <c r="D148" s="50" t="s">
        <v>373</v>
      </c>
      <c r="E148" s="50" t="s">
        <v>59</v>
      </c>
      <c r="F148" s="42">
        <v>2.0</v>
      </c>
      <c r="G148" s="41" t="s">
        <v>309</v>
      </c>
      <c r="H148" s="41" t="s">
        <v>309</v>
      </c>
    </row>
    <row r="149" spans="1:8" x14ac:dyDescent="0.15">
      <c r="A149" s="41" t="s">
        <v>374</v>
      </c>
      <c r="B149" s="41" t="s">
        <v>306</v>
      </c>
      <c r="C149" s="41" t="s">
        <v>307</v>
      </c>
      <c r="D149" s="41" t="s">
        <v>375</v>
      </c>
      <c r="E149" s="41" t="s">
        <v>366</v>
      </c>
      <c r="F149" s="42">
        <v>2.0</v>
      </c>
      <c r="G149" s="41" t="s">
        <v>309</v>
      </c>
      <c r="H149" s="41" t="s">
        <v>309</v>
      </c>
    </row>
    <row r="150" spans="1:8" x14ac:dyDescent="0.15">
      <c r="A150" s="41" t="s">
        <v>376</v>
      </c>
      <c r="B150" s="41" t="s">
        <v>306</v>
      </c>
      <c r="C150" s="41" t="s">
        <v>307</v>
      </c>
      <c r="D150" s="41" t="s">
        <v>233</v>
      </c>
      <c r="E150" s="41" t="s">
        <v>377</v>
      </c>
      <c r="F150" s="42">
        <v>2.0</v>
      </c>
      <c r="G150" s="41" t="s">
        <v>309</v>
      </c>
      <c r="H150" s="41" t="s">
        <v>309</v>
      </c>
    </row>
    <row r="151" spans="1:8" x14ac:dyDescent="0.15">
      <c r="A151" s="41" t="s">
        <v>378</v>
      </c>
      <c r="B151" s="41" t="s">
        <v>306</v>
      </c>
      <c r="C151" s="41" t="s">
        <v>307</v>
      </c>
      <c r="D151" s="41" t="s">
        <v>379</v>
      </c>
      <c r="E151" s="41" t="s">
        <v>379</v>
      </c>
      <c r="F151" s="42">
        <v>2.0</v>
      </c>
      <c r="G151" s="41" t="s">
        <v>309</v>
      </c>
      <c r="H151" s="41" t="s">
        <v>309</v>
      </c>
    </row>
    <row r="152" spans="1:11" x14ac:dyDescent="0.15">
      <c r="A152" s="50" t="s">
        <v>380</v>
      </c>
      <c r="B152" s="41" t="s">
        <v>306</v>
      </c>
      <c r="C152" s="41" t="s">
        <v>307</v>
      </c>
      <c r="D152" s="50" t="s">
        <v>381</v>
      </c>
      <c r="E152" s="50" t="s">
        <v>382</v>
      </c>
      <c r="F152" s="42"/>
      <c r="G152" s="41" t="s">
        <v>309</v>
      </c>
      <c r="H152" s="41" t="s">
        <v>309</v>
      </c>
      <c r="K152" s="36"/>
    </row>
    <row r="153" spans="1:8" x14ac:dyDescent="0.15">
      <c r="A153" s="41" t="s">
        <v>383</v>
      </c>
      <c r="B153" s="41" t="s">
        <v>306</v>
      </c>
      <c r="C153" s="41" t="s">
        <v>307</v>
      </c>
      <c r="D153" s="41" t="s">
        <v>384</v>
      </c>
      <c r="E153" s="41" t="s">
        <v>385</v>
      </c>
      <c r="F153" s="42">
        <v>2.0</v>
      </c>
      <c r="G153" s="41" t="s">
        <v>309</v>
      </c>
      <c r="H153" s="41" t="s">
        <v>309</v>
      </c>
    </row>
    <row r="154" spans="1:8" x14ac:dyDescent="0.15">
      <c r="A154" s="41" t="s">
        <v>386</v>
      </c>
      <c r="B154" s="41" t="s">
        <v>306</v>
      </c>
      <c r="C154" s="41" t="s">
        <v>387</v>
      </c>
      <c r="D154" s="41" t="s">
        <v>217</v>
      </c>
      <c r="E154" s="41" t="s">
        <v>388</v>
      </c>
      <c r="F154" s="42">
        <v>2.0</v>
      </c>
      <c r="G154" s="41" t="s">
        <v>309</v>
      </c>
      <c r="H154" s="41" t="s">
        <v>309</v>
      </c>
    </row>
    <row r="155" spans="1:8" x14ac:dyDescent="0.15">
      <c r="A155" s="41" t="s">
        <v>389</v>
      </c>
      <c r="B155" s="41" t="s">
        <v>306</v>
      </c>
      <c r="C155" s="41" t="s">
        <v>307</v>
      </c>
      <c r="D155" s="41" t="s">
        <v>233</v>
      </c>
      <c r="E155" s="41" t="s">
        <v>390</v>
      </c>
      <c r="F155" s="42">
        <v>2.0</v>
      </c>
      <c r="G155" s="41" t="s">
        <v>309</v>
      </c>
      <c r="H155" s="41" t="s">
        <v>309</v>
      </c>
    </row>
    <row r="156" spans="1:8" x14ac:dyDescent="0.15">
      <c r="A156" s="41" t="s">
        <v>391</v>
      </c>
      <c r="B156" s="41" t="s">
        <v>306</v>
      </c>
      <c r="C156" s="41" t="s">
        <v>307</v>
      </c>
      <c r="D156" s="41" t="s">
        <v>347</v>
      </c>
      <c r="E156" s="41" t="s">
        <v>392</v>
      </c>
      <c r="F156" s="42">
        <v>2.0</v>
      </c>
      <c r="G156" s="41" t="s">
        <v>309</v>
      </c>
      <c r="H156" s="41" t="s">
        <v>309</v>
      </c>
    </row>
    <row r="157" spans="1:8" x14ac:dyDescent="0.15">
      <c r="A157" s="41" t="s">
        <v>393</v>
      </c>
      <c r="B157" s="41" t="s">
        <v>306</v>
      </c>
      <c r="C157" s="41" t="s">
        <v>307</v>
      </c>
      <c r="D157" s="41" t="s">
        <v>394</v>
      </c>
      <c r="E157" s="41" t="s">
        <v>395</v>
      </c>
      <c r="F157" s="42">
        <v>2.0</v>
      </c>
      <c r="G157" s="41" t="s">
        <v>309</v>
      </c>
      <c r="H157" s="41" t="s">
        <v>309</v>
      </c>
    </row>
    <row r="158" spans="1:8" x14ac:dyDescent="0.15">
      <c r="A158" s="41" t="s">
        <v>396</v>
      </c>
      <c r="B158" s="41" t="s">
        <v>306</v>
      </c>
      <c r="C158" s="41" t="s">
        <v>397</v>
      </c>
      <c r="D158" s="41" t="s">
        <v>398</v>
      </c>
      <c r="E158" s="46" t="s">
        <v>59</v>
      </c>
      <c r="F158" s="42">
        <v>2.0</v>
      </c>
      <c r="G158" s="41" t="s">
        <v>309</v>
      </c>
      <c r="H158" s="41" t="s">
        <v>309</v>
      </c>
    </row>
    <row r="159" spans="1:8" x14ac:dyDescent="0.15">
      <c r="A159" s="41" t="s">
        <v>399</v>
      </c>
      <c r="B159" s="41" t="s">
        <v>306</v>
      </c>
      <c r="C159" s="41" t="s">
        <v>397</v>
      </c>
      <c r="D159" s="41" t="s">
        <v>400</v>
      </c>
      <c r="E159" s="41" t="s">
        <v>400</v>
      </c>
      <c r="F159" s="42">
        <v>2.0</v>
      </c>
      <c r="G159" s="41" t="s">
        <v>309</v>
      </c>
      <c r="H159" s="41" t="s">
        <v>309</v>
      </c>
    </row>
    <row r="160" spans="1:8" x14ac:dyDescent="0.15">
      <c r="A160" s="41" t="s">
        <v>401</v>
      </c>
      <c r="B160" s="41" t="s">
        <v>306</v>
      </c>
      <c r="C160" s="41" t="s">
        <v>397</v>
      </c>
      <c r="D160" s="41" t="s">
        <v>400</v>
      </c>
      <c r="E160" s="41" t="s">
        <v>400</v>
      </c>
      <c r="F160" s="42">
        <v>2.0</v>
      </c>
      <c r="G160" s="41" t="s">
        <v>309</v>
      </c>
      <c r="H160" s="41" t="s">
        <v>309</v>
      </c>
    </row>
    <row r="161" spans="1:8" x14ac:dyDescent="0.15">
      <c r="A161" s="41" t="s">
        <v>402</v>
      </c>
      <c r="B161" s="41" t="s">
        <v>306</v>
      </c>
      <c r="C161" s="41" t="s">
        <v>403</v>
      </c>
      <c r="D161" s="41" t="s">
        <v>404</v>
      </c>
      <c r="E161" s="41" t="s">
        <v>48</v>
      </c>
      <c r="F161" s="42">
        <v>2.0</v>
      </c>
      <c r="G161" s="41" t="s">
        <v>309</v>
      </c>
      <c r="H161" s="41" t="s">
        <v>309</v>
      </c>
    </row>
    <row r="162" spans="1:8" x14ac:dyDescent="0.15">
      <c r="A162" s="41" t="s">
        <v>405</v>
      </c>
      <c r="B162" s="41" t="s">
        <v>306</v>
      </c>
      <c r="C162" s="41" t="s">
        <v>397</v>
      </c>
      <c r="D162" s="41" t="s">
        <v>329</v>
      </c>
      <c r="E162" s="41" t="s">
        <v>329</v>
      </c>
      <c r="F162" s="42" t="s">
        <v>406</v>
      </c>
      <c r="G162" s="41" t="s">
        <v>309</v>
      </c>
      <c r="H162" s="41" t="s">
        <v>309</v>
      </c>
    </row>
    <row r="163" spans="1:8" x14ac:dyDescent="0.15">
      <c r="A163" s="41" t="s">
        <v>407</v>
      </c>
      <c r="B163" s="41" t="s">
        <v>306</v>
      </c>
      <c r="C163" s="41" t="s">
        <v>397</v>
      </c>
      <c r="D163" s="41" t="s">
        <v>300</v>
      </c>
      <c r="E163" s="46" t="s">
        <v>106</v>
      </c>
      <c r="F163" s="42">
        <v>2.0</v>
      </c>
      <c r="G163" s="41" t="s">
        <v>309</v>
      </c>
      <c r="H163" s="41" t="s">
        <v>309</v>
      </c>
    </row>
    <row r="164" spans="1:8" x14ac:dyDescent="0.15">
      <c r="A164" s="41" t="s">
        <v>408</v>
      </c>
      <c r="B164" s="41" t="s">
        <v>306</v>
      </c>
      <c r="C164" s="41" t="s">
        <v>409</v>
      </c>
      <c r="D164" s="41" t="s">
        <v>410</v>
      </c>
      <c r="E164" s="41" t="s">
        <v>44</v>
      </c>
      <c r="F164" s="42">
        <v>2.0</v>
      </c>
      <c r="G164" s="41" t="s">
        <v>309</v>
      </c>
      <c r="H164" s="41" t="s">
        <v>309</v>
      </c>
    </row>
    <row r="165" spans="1:8" x14ac:dyDescent="0.15">
      <c r="A165" s="41" t="s">
        <v>411</v>
      </c>
      <c r="B165" s="41" t="s">
        <v>306</v>
      </c>
      <c r="C165" s="41" t="s">
        <v>397</v>
      </c>
      <c r="D165" s="41" t="s">
        <v>400</v>
      </c>
      <c r="E165" s="41" t="s">
        <v>400</v>
      </c>
      <c r="F165" s="42">
        <v>2.0</v>
      </c>
      <c r="G165" s="41" t="s">
        <v>309</v>
      </c>
      <c r="H165" s="41" t="s">
        <v>309</v>
      </c>
    </row>
    <row r="166" spans="1:8" x14ac:dyDescent="0.15">
      <c r="A166" s="41" t="s">
        <v>412</v>
      </c>
      <c r="B166" s="41" t="s">
        <v>306</v>
      </c>
      <c r="C166" s="41" t="s">
        <v>397</v>
      </c>
      <c r="D166" s="41" t="s">
        <v>400</v>
      </c>
      <c r="E166" s="41" t="s">
        <v>400</v>
      </c>
      <c r="F166" s="42">
        <v>2.0</v>
      </c>
      <c r="G166" s="41" t="s">
        <v>309</v>
      </c>
      <c r="H166" s="41" t="s">
        <v>309</v>
      </c>
    </row>
    <row r="167" spans="1:9" x14ac:dyDescent="0.15">
      <c r="A167" s="41" t="s">
        <v>413</v>
      </c>
      <c r="B167" s="41" t="s">
        <v>306</v>
      </c>
      <c r="C167" s="41" t="s">
        <v>397</v>
      </c>
      <c r="D167" s="41" t="s">
        <v>414</v>
      </c>
      <c r="E167" s="41" t="s">
        <v>415</v>
      </c>
      <c r="F167" s="42">
        <v>2.0</v>
      </c>
      <c r="G167" s="41" t="s">
        <v>309</v>
      </c>
      <c r="H167" s="41" t="s">
        <v>309</v>
      </c>
      <c r="I167" s="36"/>
    </row>
    <row r="168" spans="1:10" x14ac:dyDescent="0.15">
      <c r="A168" s="41" t="s">
        <v>416</v>
      </c>
      <c r="B168" s="41" t="s">
        <v>306</v>
      </c>
      <c r="C168" s="41" t="s">
        <v>417</v>
      </c>
      <c r="D168" s="41" t="s">
        <v>418</v>
      </c>
      <c r="E168" s="41" t="s">
        <v>59</v>
      </c>
      <c r="F168" s="42">
        <v>2.0</v>
      </c>
      <c r="G168" s="41" t="s">
        <v>309</v>
      </c>
      <c r="H168" s="41" t="s">
        <v>309</v>
      </c>
      <c r="J168" s="36"/>
    </row>
    <row r="169" spans="1:8" x14ac:dyDescent="0.15">
      <c r="A169" s="41" t="s">
        <v>419</v>
      </c>
      <c r="B169" s="41" t="s">
        <v>306</v>
      </c>
      <c r="C169" s="41" t="s">
        <v>417</v>
      </c>
      <c r="D169" s="41" t="s">
        <v>420</v>
      </c>
      <c r="E169" s="41" t="s">
        <v>106</v>
      </c>
      <c r="F169" s="42">
        <v>2.0</v>
      </c>
      <c r="G169" s="41" t="s">
        <v>309</v>
      </c>
      <c r="H169" s="41" t="s">
        <v>309</v>
      </c>
    </row>
    <row r="170" spans="1:8" x14ac:dyDescent="0.15">
      <c r="A170" s="41" t="s">
        <v>421</v>
      </c>
      <c r="B170" s="41" t="s">
        <v>306</v>
      </c>
      <c r="C170" s="41" t="s">
        <v>417</v>
      </c>
      <c r="D170" s="41" t="s">
        <v>400</v>
      </c>
      <c r="E170" s="41" t="s">
        <v>400</v>
      </c>
      <c r="F170" s="42">
        <v>2.0</v>
      </c>
      <c r="G170" s="41" t="s">
        <v>309</v>
      </c>
      <c r="H170" s="41" t="s">
        <v>309</v>
      </c>
    </row>
    <row r="171" spans="1:8" x14ac:dyDescent="0.15">
      <c r="A171" s="41" t="s">
        <v>422</v>
      </c>
      <c r="B171" s="41" t="s">
        <v>306</v>
      </c>
      <c r="C171" s="41" t="s">
        <v>397</v>
      </c>
      <c r="D171" s="41" t="s">
        <v>423</v>
      </c>
      <c r="E171" s="41" t="s">
        <v>59</v>
      </c>
      <c r="F171" s="42">
        <v>2.0</v>
      </c>
      <c r="G171" s="41" t="s">
        <v>309</v>
      </c>
      <c r="H171" s="41" t="s">
        <v>309</v>
      </c>
    </row>
    <row r="172" spans="1:8" x14ac:dyDescent="0.15">
      <c r="A172" s="41" t="s">
        <v>424</v>
      </c>
      <c r="B172" s="41" t="s">
        <v>306</v>
      </c>
      <c r="C172" s="41" t="s">
        <v>397</v>
      </c>
      <c r="D172" s="41" t="s">
        <v>425</v>
      </c>
      <c r="E172" s="41" t="s">
        <v>59</v>
      </c>
      <c r="F172" s="42">
        <v>2.0</v>
      </c>
      <c r="G172" s="41" t="s">
        <v>309</v>
      </c>
      <c r="H172" s="41" t="s">
        <v>309</v>
      </c>
    </row>
    <row r="173" spans="1:8" x14ac:dyDescent="0.15">
      <c r="A173" s="41" t="s">
        <v>426</v>
      </c>
      <c r="B173" s="41" t="s">
        <v>306</v>
      </c>
      <c r="C173" s="41" t="s">
        <v>397</v>
      </c>
      <c r="D173" s="41" t="s">
        <v>427</v>
      </c>
      <c r="E173" s="41" t="s">
        <v>428</v>
      </c>
      <c r="F173" s="42">
        <v>2.0</v>
      </c>
      <c r="G173" s="41" t="s">
        <v>309</v>
      </c>
      <c r="H173" s="41" t="s">
        <v>309</v>
      </c>
    </row>
    <row r="174" spans="1:8" x14ac:dyDescent="0.15">
      <c r="A174" s="41" t="s">
        <v>429</v>
      </c>
      <c r="B174" s="41" t="s">
        <v>306</v>
      </c>
      <c r="C174" s="41" t="s">
        <v>397</v>
      </c>
      <c r="D174" s="41" t="s">
        <v>430</v>
      </c>
      <c r="E174" s="41" t="s">
        <v>144</v>
      </c>
      <c r="F174" s="42">
        <v>2.0</v>
      </c>
      <c r="G174" s="41" t="s">
        <v>309</v>
      </c>
      <c r="H174" s="41" t="s">
        <v>309</v>
      </c>
    </row>
    <row r="175" spans="1:8" x14ac:dyDescent="0.15">
      <c r="A175" s="41" t="s">
        <v>431</v>
      </c>
      <c r="B175" s="41" t="s">
        <v>306</v>
      </c>
      <c r="C175" s="41" t="s">
        <v>417</v>
      </c>
      <c r="D175" s="41" t="s">
        <v>360</v>
      </c>
      <c r="E175" s="41" t="s">
        <v>81</v>
      </c>
      <c r="F175" s="42">
        <v>2.0</v>
      </c>
      <c r="G175" s="41" t="s">
        <v>309</v>
      </c>
      <c r="H175" s="41" t="s">
        <v>309</v>
      </c>
    </row>
    <row r="176" spans="1:8" x14ac:dyDescent="0.15">
      <c r="A176" s="41" t="s">
        <v>432</v>
      </c>
      <c r="B176" s="41" t="s">
        <v>306</v>
      </c>
      <c r="C176" s="41" t="s">
        <v>433</v>
      </c>
      <c r="D176" s="41" t="s">
        <v>329</v>
      </c>
      <c r="E176" s="41" t="s">
        <v>329</v>
      </c>
      <c r="F176" s="42">
        <v>2.0</v>
      </c>
      <c r="G176" s="41" t="s">
        <v>309</v>
      </c>
      <c r="H176" s="41" t="s">
        <v>309</v>
      </c>
    </row>
    <row r="177" spans="1:8" x14ac:dyDescent="0.15">
      <c r="A177" s="41" t="s">
        <v>434</v>
      </c>
      <c r="B177" s="41" t="s">
        <v>306</v>
      </c>
      <c r="C177" s="41" t="s">
        <v>397</v>
      </c>
      <c r="D177" s="41" t="s">
        <v>435</v>
      </c>
      <c r="E177" s="41" t="s">
        <v>44</v>
      </c>
      <c r="F177" s="42">
        <v>2.0</v>
      </c>
      <c r="G177" s="41" t="s">
        <v>309</v>
      </c>
      <c r="H177" s="41" t="s">
        <v>309</v>
      </c>
    </row>
    <row r="178" spans="1:8" x14ac:dyDescent="0.15">
      <c r="A178" s="41" t="s">
        <v>436</v>
      </c>
      <c r="B178" s="41" t="s">
        <v>306</v>
      </c>
      <c r="C178" s="41" t="s">
        <v>397</v>
      </c>
      <c r="D178" s="41" t="s">
        <v>360</v>
      </c>
      <c r="E178" s="41" t="s">
        <v>81</v>
      </c>
      <c r="F178" s="42">
        <v>2.0</v>
      </c>
      <c r="G178" s="41" t="s">
        <v>309</v>
      </c>
      <c r="H178" s="41" t="s">
        <v>309</v>
      </c>
    </row>
    <row r="179" spans="1:8" x14ac:dyDescent="0.15">
      <c r="A179" s="41" t="s">
        <v>437</v>
      </c>
      <c r="B179" s="41" t="s">
        <v>306</v>
      </c>
      <c r="C179" s="41" t="s">
        <v>397</v>
      </c>
      <c r="D179" s="41" t="s">
        <v>438</v>
      </c>
      <c r="E179" s="41" t="s">
        <v>48</v>
      </c>
      <c r="F179" s="42">
        <v>2.0</v>
      </c>
      <c r="G179" s="41" t="s">
        <v>309</v>
      </c>
      <c r="H179" s="41" t="s">
        <v>309</v>
      </c>
    </row>
    <row r="180" spans="1:8" x14ac:dyDescent="0.15">
      <c r="A180" s="41" t="s">
        <v>439</v>
      </c>
      <c r="B180" s="41" t="s">
        <v>306</v>
      </c>
      <c r="C180" s="41" t="s">
        <v>397</v>
      </c>
      <c r="D180" s="41" t="s">
        <v>440</v>
      </c>
      <c r="E180" s="41" t="s">
        <v>54</v>
      </c>
      <c r="F180" s="42">
        <v>2.0</v>
      </c>
      <c r="G180" s="41" t="s">
        <v>309</v>
      </c>
      <c r="H180" s="41" t="s">
        <v>309</v>
      </c>
    </row>
    <row r="181" spans="1:8" x14ac:dyDescent="0.15">
      <c r="A181" s="41" t="s">
        <v>441</v>
      </c>
      <c r="B181" s="41" t="s">
        <v>306</v>
      </c>
      <c r="C181" s="41" t="s">
        <v>397</v>
      </c>
      <c r="D181" s="41" t="s">
        <v>442</v>
      </c>
      <c r="E181" s="41" t="s">
        <v>87</v>
      </c>
      <c r="F181" s="42">
        <v>2.0</v>
      </c>
      <c r="G181" s="41" t="s">
        <v>309</v>
      </c>
      <c r="H181" s="41" t="s">
        <v>309</v>
      </c>
    </row>
    <row r="182" spans="1:8" x14ac:dyDescent="0.15">
      <c r="A182" s="41" t="s">
        <v>443</v>
      </c>
      <c r="B182" s="41" t="s">
        <v>306</v>
      </c>
      <c r="C182" s="41" t="s">
        <v>397</v>
      </c>
      <c r="D182" s="41" t="s">
        <v>278</v>
      </c>
      <c r="E182" s="41" t="s">
        <v>278</v>
      </c>
      <c r="F182" s="42">
        <v>2.0</v>
      </c>
      <c r="G182" s="41" t="s">
        <v>309</v>
      </c>
      <c r="H182" s="41" t="s">
        <v>309</v>
      </c>
    </row>
    <row r="183" spans="1:8" x14ac:dyDescent="0.15">
      <c r="A183" s="41" t="s">
        <v>444</v>
      </c>
      <c r="B183" s="41" t="s">
        <v>306</v>
      </c>
      <c r="C183" s="41" t="s">
        <v>397</v>
      </c>
      <c r="D183" s="41" t="s">
        <v>445</v>
      </c>
      <c r="E183" s="41" t="s">
        <v>445</v>
      </c>
      <c r="F183" s="42">
        <v>2.0</v>
      </c>
      <c r="G183" s="41" t="s">
        <v>309</v>
      </c>
      <c r="H183" s="41" t="s">
        <v>309</v>
      </c>
    </row>
    <row r="184" spans="1:8" x14ac:dyDescent="0.15">
      <c r="A184" s="41" t="s">
        <v>446</v>
      </c>
      <c r="B184" s="41" t="s">
        <v>306</v>
      </c>
      <c r="C184" s="41" t="s">
        <v>397</v>
      </c>
      <c r="D184" s="41" t="s">
        <v>400</v>
      </c>
      <c r="E184" s="41" t="s">
        <v>400</v>
      </c>
      <c r="F184" s="42">
        <v>2.0</v>
      </c>
      <c r="G184" s="41" t="s">
        <v>309</v>
      </c>
      <c r="H184" s="41" t="s">
        <v>309</v>
      </c>
    </row>
    <row r="185" spans="1:9" x14ac:dyDescent="0.15">
      <c r="A185" s="41" t="s">
        <v>447</v>
      </c>
      <c r="B185" s="41" t="s">
        <v>306</v>
      </c>
      <c r="C185" s="41" t="s">
        <v>397</v>
      </c>
      <c r="D185" s="41" t="s">
        <v>329</v>
      </c>
      <c r="E185" s="41" t="s">
        <v>329</v>
      </c>
      <c r="F185" s="42" t="s">
        <v>448</v>
      </c>
      <c r="G185" s="41" t="s">
        <v>309</v>
      </c>
      <c r="H185" s="41" t="s">
        <v>309</v>
      </c>
      <c r="I185" t="s" s="194">
        <v>449</v>
      </c>
    </row>
    <row r="186" spans="1:8" x14ac:dyDescent="0.15">
      <c r="A186" s="41" t="s">
        <v>450</v>
      </c>
      <c r="B186" s="41" t="s">
        <v>306</v>
      </c>
      <c r="C186" s="41" t="s">
        <v>397</v>
      </c>
      <c r="D186" s="41" t="s">
        <v>451</v>
      </c>
      <c r="E186" s="41" t="s">
        <v>451</v>
      </c>
      <c r="F186" s="42">
        <v>2.0</v>
      </c>
      <c r="G186" s="41" t="s">
        <v>309</v>
      </c>
      <c r="H186" s="41" t="s">
        <v>309</v>
      </c>
    </row>
    <row r="187" spans="1:8" x14ac:dyDescent="0.15">
      <c r="A187" s="41" t="s">
        <v>452</v>
      </c>
      <c r="B187" s="41" t="s">
        <v>306</v>
      </c>
      <c r="C187" s="41" t="s">
        <v>397</v>
      </c>
      <c r="D187" s="41" t="s">
        <v>400</v>
      </c>
      <c r="E187" s="41" t="s">
        <v>400</v>
      </c>
      <c r="F187" s="42">
        <v>2.0</v>
      </c>
      <c r="G187" s="41" t="s">
        <v>309</v>
      </c>
      <c r="H187" s="41" t="s">
        <v>309</v>
      </c>
    </row>
    <row r="188" spans="1:8" x14ac:dyDescent="0.15">
      <c r="A188" s="41" t="s">
        <v>453</v>
      </c>
      <c r="B188" s="41" t="s">
        <v>306</v>
      </c>
      <c r="C188" s="41" t="s">
        <v>397</v>
      </c>
      <c r="D188" s="41" t="s">
        <v>454</v>
      </c>
      <c r="E188" s="41" t="s">
        <v>454</v>
      </c>
      <c r="F188" s="42">
        <v>2.0</v>
      </c>
      <c r="G188" s="41" t="s">
        <v>455</v>
      </c>
      <c r="H188" s="41" t="s">
        <v>309</v>
      </c>
    </row>
    <row r="189" spans="1:8" x14ac:dyDescent="0.15">
      <c r="A189" s="41" t="s">
        <v>456</v>
      </c>
      <c r="B189" s="41" t="s">
        <v>306</v>
      </c>
      <c r="C189" s="41" t="s">
        <v>397</v>
      </c>
      <c r="D189" s="41" t="s">
        <v>457</v>
      </c>
      <c r="E189" s="41" t="s">
        <v>457</v>
      </c>
      <c r="F189" s="42">
        <v>2.0</v>
      </c>
      <c r="G189" s="41" t="s">
        <v>309</v>
      </c>
      <c r="H189" s="41" t="s">
        <v>309</v>
      </c>
    </row>
    <row r="190" spans="1:8" x14ac:dyDescent="0.15">
      <c r="A190" s="41"/>
      <c r="B190" s="41"/>
      <c r="C190" s="41"/>
      <c r="D190" s="41"/>
      <c r="E190" s="41"/>
      <c r="F190" s="42"/>
      <c r="G190" s="41"/>
      <c r="H190" s="41"/>
    </row>
    <row r="191" spans="1:8" x14ac:dyDescent="0.15">
      <c r="A191" s="41" t="s">
        <v>458</v>
      </c>
      <c r="B191" s="41" t="s">
        <v>306</v>
      </c>
      <c r="C191" s="41" t="s">
        <v>397</v>
      </c>
      <c r="D191" s="41" t="s">
        <v>459</v>
      </c>
      <c r="E191" s="41" t="s">
        <v>87</v>
      </c>
      <c r="F191" s="42">
        <v>2.0</v>
      </c>
      <c r="G191" s="41" t="s">
        <v>309</v>
      </c>
      <c r="H191" s="41" t="s">
        <v>309</v>
      </c>
    </row>
    <row r="192" spans="1:8" x14ac:dyDescent="0.15">
      <c r="A192" s="41" t="s">
        <v>460</v>
      </c>
      <c r="B192" s="41" t="s">
        <v>306</v>
      </c>
      <c r="C192" s="41" t="s">
        <v>461</v>
      </c>
      <c r="D192" s="41" t="s">
        <v>360</v>
      </c>
      <c r="E192" s="41" t="s">
        <v>360</v>
      </c>
      <c r="F192" s="42">
        <v>2.0</v>
      </c>
      <c r="G192" s="41" t="s">
        <v>309</v>
      </c>
      <c r="H192" s="41" t="s">
        <v>309</v>
      </c>
    </row>
    <row r="193" spans="1:9" x14ac:dyDescent="0.15">
      <c r="A193" s="41" t="s">
        <v>462</v>
      </c>
      <c r="B193" s="41" t="s">
        <v>306</v>
      </c>
      <c r="C193" s="41" t="s">
        <v>433</v>
      </c>
      <c r="D193" s="41" t="s">
        <v>360</v>
      </c>
      <c r="E193" s="41" t="s">
        <v>360</v>
      </c>
      <c r="F193" s="42">
        <v>2.0</v>
      </c>
      <c r="G193" s="41" t="s">
        <v>309</v>
      </c>
      <c r="H193" s="41" t="s">
        <v>309</v>
      </c>
      <c r="I193" s="54"/>
    </row>
    <row r="194" spans="1:8" x14ac:dyDescent="0.15">
      <c r="A194" s="41" t="s">
        <v>463</v>
      </c>
      <c r="B194" s="41" t="s">
        <v>306</v>
      </c>
      <c r="C194" s="41" t="s">
        <v>464</v>
      </c>
      <c r="D194" s="41" t="s">
        <v>465</v>
      </c>
      <c r="E194" s="41" t="s">
        <v>465</v>
      </c>
      <c r="F194" s="42">
        <v>2.0</v>
      </c>
      <c r="G194" s="41" t="s">
        <v>309</v>
      </c>
      <c r="H194" s="41" t="s">
        <v>309</v>
      </c>
    </row>
    <row r="195" spans="1:8" x14ac:dyDescent="0.15">
      <c r="A195" s="41" t="s">
        <v>466</v>
      </c>
      <c r="B195" s="41" t="s">
        <v>306</v>
      </c>
      <c r="C195" s="41" t="s">
        <v>464</v>
      </c>
      <c r="D195" s="41" t="s">
        <v>44</v>
      </c>
      <c r="E195" s="41" t="s">
        <v>44</v>
      </c>
      <c r="F195" s="42">
        <v>2.0</v>
      </c>
      <c r="G195" s="41" t="s">
        <v>309</v>
      </c>
      <c r="H195" s="41" t="s">
        <v>309</v>
      </c>
    </row>
    <row r="196" spans="1:8" x14ac:dyDescent="0.15">
      <c r="A196" s="41" t="s">
        <v>467</v>
      </c>
      <c r="B196" s="41" t="s">
        <v>306</v>
      </c>
      <c r="C196" s="41" t="s">
        <v>464</v>
      </c>
      <c r="D196" s="41" t="s">
        <v>468</v>
      </c>
      <c r="E196" s="41" t="s">
        <v>468</v>
      </c>
      <c r="F196" s="42">
        <v>2.0</v>
      </c>
      <c r="G196" s="41" t="s">
        <v>309</v>
      </c>
      <c r="H196" s="41" t="s">
        <v>309</v>
      </c>
    </row>
    <row r="197" spans="1:8" x14ac:dyDescent="0.15">
      <c r="A197" s="41" t="s">
        <v>469</v>
      </c>
      <c r="B197" s="41" t="s">
        <v>306</v>
      </c>
      <c r="C197" s="41" t="s">
        <v>464</v>
      </c>
      <c r="D197" s="41" t="s">
        <v>470</v>
      </c>
      <c r="E197" s="41" t="s">
        <v>470</v>
      </c>
      <c r="F197" s="42">
        <v>2.0</v>
      </c>
      <c r="G197" s="41" t="s">
        <v>309</v>
      </c>
      <c r="H197" s="41" t="s">
        <v>309</v>
      </c>
    </row>
    <row r="198" spans="1:10" x14ac:dyDescent="0.15">
      <c r="A198" s="41" t="s">
        <v>471</v>
      </c>
      <c r="B198" s="41" t="s">
        <v>306</v>
      </c>
      <c r="C198" s="41" t="s">
        <v>464</v>
      </c>
      <c r="D198" s="41" t="s">
        <v>472</v>
      </c>
      <c r="E198" s="41" t="s">
        <v>87</v>
      </c>
      <c r="F198" s="42">
        <v>2.0</v>
      </c>
      <c r="G198" s="41" t="s">
        <v>309</v>
      </c>
      <c r="H198" s="41" t="s">
        <v>309</v>
      </c>
      <c r="J198" s="36"/>
    </row>
    <row r="199" spans="1:8" x14ac:dyDescent="0.15">
      <c r="A199" s="41" t="s">
        <v>473</v>
      </c>
      <c r="B199" s="41" t="s">
        <v>306</v>
      </c>
      <c r="C199" s="41" t="s">
        <v>474</v>
      </c>
      <c r="D199" s="41" t="s">
        <v>475</v>
      </c>
      <c r="E199" s="41" t="s">
        <v>475</v>
      </c>
      <c r="F199" s="42">
        <v>2.0</v>
      </c>
      <c r="G199" s="41" t="s">
        <v>309</v>
      </c>
      <c r="H199" s="41" t="s">
        <v>309</v>
      </c>
    </row>
    <row r="200" spans="1:8" x14ac:dyDescent="0.15">
      <c r="A200" s="41" t="s">
        <v>476</v>
      </c>
      <c r="B200" s="41" t="s">
        <v>306</v>
      </c>
      <c r="C200" s="41" t="s">
        <v>464</v>
      </c>
      <c r="D200" s="41" t="s">
        <v>329</v>
      </c>
      <c r="E200" s="41" t="s">
        <v>329</v>
      </c>
      <c r="F200" s="42" t="s">
        <v>477</v>
      </c>
      <c r="G200" s="41" t="s">
        <v>309</v>
      </c>
      <c r="H200" s="41" t="s">
        <v>309</v>
      </c>
    </row>
    <row r="201" spans="1:8" x14ac:dyDescent="0.15">
      <c r="A201" s="41" t="s">
        <v>478</v>
      </c>
      <c r="B201" s="41" t="s">
        <v>306</v>
      </c>
      <c r="C201" s="41" t="s">
        <v>464</v>
      </c>
      <c r="D201" s="41" t="s">
        <v>479</v>
      </c>
      <c r="E201" s="41" t="s">
        <v>415</v>
      </c>
      <c r="F201" s="42">
        <v>2.0</v>
      </c>
      <c r="G201" s="41" t="s">
        <v>309</v>
      </c>
      <c r="H201" s="41" t="s">
        <v>309</v>
      </c>
    </row>
    <row r="202" spans="1:9" x14ac:dyDescent="0.15">
      <c r="A202" s="41" t="s">
        <v>480</v>
      </c>
      <c r="B202" s="41" t="s">
        <v>306</v>
      </c>
      <c r="C202" s="41" t="s">
        <v>481</v>
      </c>
      <c r="D202" s="41" t="s">
        <v>482</v>
      </c>
      <c r="E202" s="41" t="s">
        <v>482</v>
      </c>
      <c r="F202" s="42">
        <v>2.0</v>
      </c>
      <c r="G202" s="41" t="s">
        <v>309</v>
      </c>
      <c r="H202" s="41" t="s">
        <v>309</v>
      </c>
      <c r="I202" t="s" s="194">
        <v>483</v>
      </c>
    </row>
    <row r="203" spans="1:8" x14ac:dyDescent="0.15">
      <c r="A203" s="41" t="s">
        <v>484</v>
      </c>
      <c r="B203" s="41" t="s">
        <v>306</v>
      </c>
      <c r="C203" s="41" t="s">
        <v>485</v>
      </c>
      <c r="D203" s="41" t="s">
        <v>486</v>
      </c>
      <c r="E203" s="41" t="s">
        <v>486</v>
      </c>
      <c r="F203" s="42">
        <v>2.0</v>
      </c>
      <c r="G203" s="41" t="s">
        <v>309</v>
      </c>
      <c r="H203" s="41" t="s">
        <v>309</v>
      </c>
    </row>
    <row r="204" spans="1:8" x14ac:dyDescent="0.15">
      <c r="A204" s="41" t="s">
        <v>487</v>
      </c>
      <c r="B204" s="41" t="s">
        <v>306</v>
      </c>
      <c r="C204" s="41" t="s">
        <v>481</v>
      </c>
      <c r="D204" s="41" t="s">
        <v>488</v>
      </c>
      <c r="E204" s="41" t="s">
        <v>488</v>
      </c>
      <c r="F204" s="42">
        <v>2.0</v>
      </c>
      <c r="G204" s="41" t="s">
        <v>309</v>
      </c>
      <c r="H204" s="41" t="s">
        <v>309</v>
      </c>
    </row>
    <row r="205" spans="1:8" x14ac:dyDescent="0.15">
      <c r="A205" s="41" t="s">
        <v>489</v>
      </c>
      <c r="B205" s="41" t="s">
        <v>306</v>
      </c>
      <c r="C205" s="41" t="s">
        <v>490</v>
      </c>
      <c r="D205" s="41" t="s">
        <v>491</v>
      </c>
      <c r="E205" s="41" t="s">
        <v>44</v>
      </c>
      <c r="F205" s="42">
        <v>2.0</v>
      </c>
      <c r="G205" s="41" t="s">
        <v>309</v>
      </c>
      <c r="H205" s="41" t="s">
        <v>309</v>
      </c>
    </row>
    <row r="206" spans="1:8" x14ac:dyDescent="0.15">
      <c r="A206" s="41" t="s">
        <v>492</v>
      </c>
      <c r="B206" s="41" t="s">
        <v>306</v>
      </c>
      <c r="C206" s="41" t="s">
        <v>493</v>
      </c>
      <c r="D206" s="41" t="s">
        <v>205</v>
      </c>
      <c r="E206" s="41" t="s">
        <v>44</v>
      </c>
      <c r="F206" s="42">
        <v>2.0</v>
      </c>
      <c r="G206" s="41" t="s">
        <v>309</v>
      </c>
      <c r="H206" s="41" t="s">
        <v>309</v>
      </c>
    </row>
    <row r="207" spans="1:8" x14ac:dyDescent="0.15">
      <c r="A207" s="41" t="s">
        <v>494</v>
      </c>
      <c r="B207" s="41" t="s">
        <v>306</v>
      </c>
      <c r="C207" s="41" t="s">
        <v>493</v>
      </c>
      <c r="D207" s="47" t="s">
        <v>205</v>
      </c>
      <c r="E207" s="47" t="s">
        <v>44</v>
      </c>
      <c r="F207" s="42">
        <v>2.0</v>
      </c>
      <c r="G207" s="41" t="s">
        <v>309</v>
      </c>
      <c r="H207" s="41" t="s">
        <v>309</v>
      </c>
    </row>
    <row r="208" spans="1:8" x14ac:dyDescent="0.15">
      <c r="A208" s="41" t="s">
        <v>495</v>
      </c>
      <c r="B208" s="41" t="s">
        <v>306</v>
      </c>
      <c r="C208" s="41" t="s">
        <v>496</v>
      </c>
      <c r="D208" s="48" t="s">
        <v>270</v>
      </c>
      <c r="E208" s="48" t="s">
        <v>497</v>
      </c>
      <c r="F208" s="42">
        <v>2.0</v>
      </c>
      <c r="G208" s="41" t="s">
        <v>309</v>
      </c>
      <c r="H208" s="41" t="s">
        <v>309</v>
      </c>
    </row>
    <row r="209" spans="1:8" x14ac:dyDescent="0.15">
      <c r="A209" s="41" t="s">
        <v>498</v>
      </c>
      <c r="B209" s="41" t="s">
        <v>306</v>
      </c>
      <c r="C209" s="41" t="s">
        <v>496</v>
      </c>
      <c r="D209" s="41" t="s">
        <v>270</v>
      </c>
      <c r="E209" s="41" t="s">
        <v>497</v>
      </c>
      <c r="F209" s="42">
        <v>2.0</v>
      </c>
      <c r="G209" s="41" t="s">
        <v>309</v>
      </c>
      <c r="H209" s="41" t="s">
        <v>309</v>
      </c>
    </row>
    <row r="210" spans="1:8" x14ac:dyDescent="0.15">
      <c r="A210" s="41" t="s">
        <v>499</v>
      </c>
      <c r="B210" s="41" t="s">
        <v>306</v>
      </c>
      <c r="C210" s="41" t="s">
        <v>496</v>
      </c>
      <c r="D210" s="41" t="s">
        <v>270</v>
      </c>
      <c r="E210" s="41" t="s">
        <v>497</v>
      </c>
      <c r="F210" s="42">
        <v>2.0</v>
      </c>
      <c r="G210" s="41" t="s">
        <v>309</v>
      </c>
      <c r="H210" s="41" t="s">
        <v>309</v>
      </c>
    </row>
    <row r="211" spans="1:8" x14ac:dyDescent="0.15">
      <c r="A211" s="41" t="s">
        <v>500</v>
      </c>
      <c r="B211" s="41" t="s">
        <v>306</v>
      </c>
      <c r="C211" s="41" t="s">
        <v>496</v>
      </c>
      <c r="D211" s="41" t="s">
        <v>270</v>
      </c>
      <c r="E211" s="41" t="s">
        <v>497</v>
      </c>
      <c r="F211" s="42">
        <v>2.0</v>
      </c>
      <c r="G211" s="41" t="s">
        <v>309</v>
      </c>
      <c r="H211" s="41" t="s">
        <v>309</v>
      </c>
    </row>
    <row r="212" spans="1:8" x14ac:dyDescent="0.15">
      <c r="A212" s="41" t="s">
        <v>501</v>
      </c>
      <c r="B212" s="41" t="s">
        <v>306</v>
      </c>
      <c r="C212" s="41" t="s">
        <v>496</v>
      </c>
      <c r="D212" s="41" t="s">
        <v>270</v>
      </c>
      <c r="E212" s="41" t="s">
        <v>497</v>
      </c>
      <c r="F212" s="42">
        <v>2.0</v>
      </c>
      <c r="G212" s="41" t="s">
        <v>309</v>
      </c>
      <c r="H212" s="41" t="s">
        <v>309</v>
      </c>
    </row>
    <row r="213" spans="1:9" x14ac:dyDescent="0.15">
      <c r="A213" s="41" t="s">
        <v>502</v>
      </c>
      <c r="B213" s="41" t="s">
        <v>306</v>
      </c>
      <c r="C213" s="46" t="s">
        <v>503</v>
      </c>
      <c r="D213" s="41" t="s">
        <v>504</v>
      </c>
      <c r="E213" s="46" t="s">
        <v>40</v>
      </c>
      <c r="F213" s="42">
        <v>2.0</v>
      </c>
      <c r="G213" s="41" t="s">
        <v>309</v>
      </c>
      <c r="H213" s="41" t="s">
        <v>309</v>
      </c>
      <c r="I213" s="52" t="s">
        <v>505</v>
      </c>
    </row>
    <row r="214" spans="1:8" x14ac:dyDescent="0.15">
      <c r="A214" s="41" t="s">
        <v>506</v>
      </c>
      <c r="B214" s="41" t="s">
        <v>306</v>
      </c>
      <c r="C214" s="41" t="s">
        <v>496</v>
      </c>
      <c r="D214" s="41" t="s">
        <v>270</v>
      </c>
      <c r="E214" s="41" t="s">
        <v>497</v>
      </c>
      <c r="F214" s="42">
        <v>2.0</v>
      </c>
      <c r="G214" s="41" t="s">
        <v>309</v>
      </c>
      <c r="H214" s="41" t="s">
        <v>309</v>
      </c>
    </row>
    <row r="215" spans="1:8" x14ac:dyDescent="0.15">
      <c r="A215" s="41" t="s">
        <v>507</v>
      </c>
      <c r="B215" s="41" t="s">
        <v>306</v>
      </c>
      <c r="C215" s="41" t="s">
        <v>508</v>
      </c>
      <c r="D215" s="41" t="s">
        <v>509</v>
      </c>
      <c r="E215" s="41" t="s">
        <v>81</v>
      </c>
      <c r="F215" s="42">
        <v>2.0</v>
      </c>
      <c r="G215" s="41" t="s">
        <v>309</v>
      </c>
      <c r="H215" s="41" t="s">
        <v>309</v>
      </c>
    </row>
    <row r="216" spans="1:8" x14ac:dyDescent="0.15">
      <c r="A216" s="41" t="s">
        <v>510</v>
      </c>
      <c r="B216" s="41" t="s">
        <v>306</v>
      </c>
      <c r="C216" s="41" t="s">
        <v>503</v>
      </c>
      <c r="D216" s="41" t="s">
        <v>511</v>
      </c>
      <c r="E216" s="46" t="s">
        <v>59</v>
      </c>
      <c r="F216" s="42">
        <v>2.0</v>
      </c>
      <c r="G216" s="41" t="s">
        <v>309</v>
      </c>
      <c r="H216" s="41" t="s">
        <v>309</v>
      </c>
    </row>
    <row r="217" spans="1:8" x14ac:dyDescent="0.15">
      <c r="A217" s="41" t="s">
        <v>512</v>
      </c>
      <c r="B217" s="41" t="s">
        <v>306</v>
      </c>
      <c r="C217" s="41" t="s">
        <v>513</v>
      </c>
      <c r="D217" s="41" t="s">
        <v>514</v>
      </c>
      <c r="E217" s="41" t="s">
        <v>514</v>
      </c>
      <c r="F217" s="42">
        <v>2.0</v>
      </c>
      <c r="G217" s="41" t="s">
        <v>309</v>
      </c>
      <c r="H217" s="41" t="s">
        <v>309</v>
      </c>
    </row>
    <row r="218" spans="1:8" x14ac:dyDescent="0.15">
      <c r="A218" s="41" t="s">
        <v>515</v>
      </c>
      <c r="B218" s="41" t="s">
        <v>306</v>
      </c>
      <c r="C218" s="41" t="s">
        <v>503</v>
      </c>
      <c r="D218" s="41" t="s">
        <v>178</v>
      </c>
      <c r="E218" s="41" t="s">
        <v>178</v>
      </c>
      <c r="F218" s="42">
        <v>2.0</v>
      </c>
      <c r="G218" s="41" t="s">
        <v>309</v>
      </c>
      <c r="H218" s="41" t="s">
        <v>309</v>
      </c>
    </row>
    <row r="219" spans="1:8" x14ac:dyDescent="0.15">
      <c r="A219" s="41" t="s">
        <v>516</v>
      </c>
      <c r="B219" s="41" t="s">
        <v>306</v>
      </c>
      <c r="C219" s="41" t="s">
        <v>517</v>
      </c>
      <c r="D219" s="41" t="s">
        <v>518</v>
      </c>
      <c r="E219" s="41" t="s">
        <v>518</v>
      </c>
      <c r="F219" s="42">
        <v>2.0</v>
      </c>
      <c r="G219" s="41" t="s">
        <v>309</v>
      </c>
      <c r="H219" s="41" t="s">
        <v>309</v>
      </c>
    </row>
    <row r="220" spans="1:8" x14ac:dyDescent="0.15">
      <c r="A220" s="41" t="s">
        <v>519</v>
      </c>
      <c r="B220" s="41" t="s">
        <v>306</v>
      </c>
      <c r="C220" s="41" t="s">
        <v>520</v>
      </c>
      <c r="D220" s="41" t="s">
        <v>521</v>
      </c>
      <c r="E220" s="41" t="s">
        <v>106</v>
      </c>
      <c r="F220" s="42">
        <v>2.0</v>
      </c>
      <c r="G220" s="41" t="s">
        <v>309</v>
      </c>
      <c r="H220" s="41" t="s">
        <v>309</v>
      </c>
    </row>
    <row r="221" spans="1:8" x14ac:dyDescent="0.15">
      <c r="A221" s="41" t="s">
        <v>522</v>
      </c>
      <c r="B221" s="41" t="s">
        <v>306</v>
      </c>
      <c r="C221" s="41" t="s">
        <v>503</v>
      </c>
      <c r="D221" s="41" t="s">
        <v>523</v>
      </c>
      <c r="E221" s="41" t="s">
        <v>523</v>
      </c>
      <c r="F221" s="42">
        <v>2.0</v>
      </c>
      <c r="G221" s="41" t="s">
        <v>309</v>
      </c>
      <c r="H221" s="41" t="s">
        <v>309</v>
      </c>
    </row>
    <row r="222" spans="1:8" x14ac:dyDescent="0.15">
      <c r="A222" s="41" t="s">
        <v>524</v>
      </c>
      <c r="B222" s="41" t="s">
        <v>306</v>
      </c>
      <c r="C222" s="41" t="s">
        <v>503</v>
      </c>
      <c r="D222" s="41" t="s">
        <v>525</v>
      </c>
      <c r="E222" s="41" t="s">
        <v>525</v>
      </c>
      <c r="F222" s="42">
        <v>2.0</v>
      </c>
      <c r="G222" s="41" t="s">
        <v>309</v>
      </c>
      <c r="H222" s="41" t="s">
        <v>309</v>
      </c>
    </row>
    <row r="223" spans="1:8" x14ac:dyDescent="0.15">
      <c r="A223" s="41" t="s">
        <v>526</v>
      </c>
      <c r="B223" s="41" t="s">
        <v>306</v>
      </c>
      <c r="C223" s="41" t="s">
        <v>503</v>
      </c>
      <c r="D223" s="41" t="s">
        <v>178</v>
      </c>
      <c r="E223" s="41" t="s">
        <v>178</v>
      </c>
      <c r="F223" s="42">
        <v>2.0</v>
      </c>
      <c r="G223" s="41" t="s">
        <v>309</v>
      </c>
      <c r="H223" s="41" t="s">
        <v>309</v>
      </c>
    </row>
    <row r="224" spans="1:8" x14ac:dyDescent="0.15">
      <c r="A224" s="41" t="s">
        <v>527</v>
      </c>
      <c r="B224" s="41" t="s">
        <v>306</v>
      </c>
      <c r="C224" s="41" t="s">
        <v>503</v>
      </c>
      <c r="D224" s="41" t="s">
        <v>470</v>
      </c>
      <c r="E224" s="41" t="s">
        <v>470</v>
      </c>
      <c r="F224" s="42">
        <v>2.0</v>
      </c>
      <c r="G224" s="41" t="s">
        <v>309</v>
      </c>
      <c r="H224" s="41" t="s">
        <v>309</v>
      </c>
    </row>
    <row r="225" spans="1:8" x14ac:dyDescent="0.15">
      <c r="A225" s="41" t="s">
        <v>528</v>
      </c>
      <c r="B225" s="41" t="s">
        <v>306</v>
      </c>
      <c r="C225" s="41" t="s">
        <v>503</v>
      </c>
      <c r="D225" s="41" t="s">
        <v>529</v>
      </c>
      <c r="E225" s="41" t="s">
        <v>44</v>
      </c>
      <c r="F225" s="42">
        <v>2.0</v>
      </c>
      <c r="G225" s="41" t="s">
        <v>309</v>
      </c>
      <c r="H225" s="41" t="s">
        <v>309</v>
      </c>
    </row>
    <row r="226" spans="1:8" x14ac:dyDescent="0.15">
      <c r="A226" s="41" t="s">
        <v>530</v>
      </c>
      <c r="B226" s="41" t="s">
        <v>306</v>
      </c>
      <c r="C226" s="41" t="s">
        <v>517</v>
      </c>
      <c r="D226" s="41" t="s">
        <v>531</v>
      </c>
      <c r="E226" s="41" t="s">
        <v>54</v>
      </c>
      <c r="F226" s="42">
        <v>2.0</v>
      </c>
      <c r="G226" s="41" t="s">
        <v>309</v>
      </c>
      <c r="H226" s="41" t="s">
        <v>309</v>
      </c>
    </row>
    <row r="227" spans="1:8" x14ac:dyDescent="0.15">
      <c r="A227" s="41" t="s">
        <v>532</v>
      </c>
      <c r="B227" s="41" t="s">
        <v>306</v>
      </c>
      <c r="C227" s="41" t="s">
        <v>517</v>
      </c>
      <c r="D227" s="41" t="s">
        <v>533</v>
      </c>
      <c r="E227" s="41" t="s">
        <v>51</v>
      </c>
      <c r="F227" s="42">
        <v>2.0</v>
      </c>
      <c r="G227" s="41" t="s">
        <v>309</v>
      </c>
      <c r="H227" s="41" t="s">
        <v>309</v>
      </c>
    </row>
    <row r="228" spans="1:8" x14ac:dyDescent="0.15">
      <c r="A228" s="41" t="s">
        <v>534</v>
      </c>
      <c r="B228" s="41" t="s">
        <v>306</v>
      </c>
      <c r="C228" s="41" t="s">
        <v>517</v>
      </c>
      <c r="D228" s="41" t="s">
        <v>535</v>
      </c>
      <c r="E228" s="41" t="s">
        <v>535</v>
      </c>
      <c r="F228" s="42">
        <v>2.0</v>
      </c>
      <c r="G228" s="41" t="s">
        <v>309</v>
      </c>
      <c r="H228" s="41" t="s">
        <v>309</v>
      </c>
    </row>
    <row r="229" spans="1:8" x14ac:dyDescent="0.15">
      <c r="A229" s="41" t="s">
        <v>536</v>
      </c>
      <c r="B229" s="41" t="s">
        <v>306</v>
      </c>
      <c r="C229" s="41" t="s">
        <v>517</v>
      </c>
      <c r="D229" s="41" t="s">
        <v>233</v>
      </c>
      <c r="E229" s="41" t="s">
        <v>59</v>
      </c>
      <c r="F229" s="42">
        <v>2.0</v>
      </c>
      <c r="G229" s="41" t="s">
        <v>309</v>
      </c>
      <c r="H229" s="41" t="s">
        <v>309</v>
      </c>
    </row>
    <row r="230" spans="1:8" x14ac:dyDescent="0.15">
      <c r="A230" s="41" t="s">
        <v>537</v>
      </c>
      <c r="B230" s="41" t="s">
        <v>306</v>
      </c>
      <c r="C230" s="41" t="s">
        <v>517</v>
      </c>
      <c r="D230" s="41" t="s">
        <v>538</v>
      </c>
      <c r="E230" s="41" t="s">
        <v>539</v>
      </c>
      <c r="F230" s="42">
        <v>2.0</v>
      </c>
      <c r="G230" s="41" t="s">
        <v>309</v>
      </c>
      <c r="H230" s="41" t="s">
        <v>309</v>
      </c>
    </row>
    <row r="231" spans="1:8" x14ac:dyDescent="0.15">
      <c r="A231" s="41" t="s">
        <v>540</v>
      </c>
      <c r="B231" s="41" t="s">
        <v>306</v>
      </c>
      <c r="C231" s="41" t="s">
        <v>517</v>
      </c>
      <c r="D231" s="41" t="s">
        <v>538</v>
      </c>
      <c r="E231" s="41" t="s">
        <v>539</v>
      </c>
      <c r="F231" s="42">
        <v>2.0</v>
      </c>
      <c r="G231" s="41" t="s">
        <v>309</v>
      </c>
      <c r="H231" s="41" t="s">
        <v>309</v>
      </c>
    </row>
    <row r="232" spans="1:8" x14ac:dyDescent="0.15">
      <c r="A232" s="41" t="s">
        <v>541</v>
      </c>
      <c r="B232" s="41" t="s">
        <v>306</v>
      </c>
      <c r="C232" s="41" t="s">
        <v>542</v>
      </c>
      <c r="D232" s="41" t="s">
        <v>217</v>
      </c>
      <c r="E232" s="41" t="s">
        <v>539</v>
      </c>
      <c r="F232" s="42">
        <v>2.0</v>
      </c>
      <c r="G232" s="41" t="s">
        <v>309</v>
      </c>
      <c r="H232" s="41" t="s">
        <v>309</v>
      </c>
    </row>
    <row r="233" spans="1:8" x14ac:dyDescent="0.15">
      <c r="A233" s="41" t="s">
        <v>543</v>
      </c>
      <c r="B233" s="41" t="s">
        <v>306</v>
      </c>
      <c r="C233" s="41" t="s">
        <v>544</v>
      </c>
      <c r="D233" s="41" t="s">
        <v>217</v>
      </c>
      <c r="E233" s="41" t="s">
        <v>539</v>
      </c>
      <c r="F233" s="42">
        <v>2.0</v>
      </c>
      <c r="G233" s="41" t="s">
        <v>309</v>
      </c>
      <c r="H233" s="41" t="s">
        <v>309</v>
      </c>
    </row>
    <row r="234" spans="1:8" x14ac:dyDescent="0.15">
      <c r="A234" s="41" t="s">
        <v>545</v>
      </c>
      <c r="B234" s="41" t="s">
        <v>306</v>
      </c>
      <c r="C234" s="41" t="s">
        <v>542</v>
      </c>
      <c r="D234" s="41" t="s">
        <v>546</v>
      </c>
      <c r="E234" s="41" t="s">
        <v>546</v>
      </c>
      <c r="F234" s="42">
        <v>2.0</v>
      </c>
      <c r="G234" s="41" t="s">
        <v>309</v>
      </c>
      <c r="H234" s="41" t="s">
        <v>309</v>
      </c>
    </row>
    <row r="235" spans="1:8" x14ac:dyDescent="0.15">
      <c r="A235" s="41" t="s">
        <v>547</v>
      </c>
      <c r="B235" s="41" t="s">
        <v>306</v>
      </c>
      <c r="C235" s="41" t="s">
        <v>548</v>
      </c>
      <c r="D235" s="41" t="s">
        <v>217</v>
      </c>
      <c r="E235" s="41" t="s">
        <v>549</v>
      </c>
      <c r="F235" s="42">
        <v>2.0</v>
      </c>
      <c r="G235" s="41" t="s">
        <v>309</v>
      </c>
      <c r="H235" s="41" t="s">
        <v>309</v>
      </c>
    </row>
    <row r="236" spans="1:8" x14ac:dyDescent="0.15">
      <c r="A236" s="47" t="s">
        <v>550</v>
      </c>
      <c r="B236" s="47" t="s">
        <v>306</v>
      </c>
      <c r="C236" s="47" t="s">
        <v>548</v>
      </c>
      <c r="D236" s="47" t="s">
        <v>217</v>
      </c>
      <c r="E236" s="47" t="s">
        <v>551</v>
      </c>
      <c r="F236" s="49">
        <v>2.0</v>
      </c>
      <c r="G236" s="47" t="s">
        <v>309</v>
      </c>
      <c r="H236" s="47" t="s">
        <v>309</v>
      </c>
    </row>
    <row r="240" spans="3:3" x14ac:dyDescent="0.15">
      <c r="C240" s="36"/>
    </row>
    <row r="241" spans="6:6" x14ac:dyDescent="0.15">
      <c r="F241" s="36"/>
    </row>
    <row r="242" spans="6:6" x14ac:dyDescent="0.15">
      <c r="F242" s="36"/>
    </row>
    <row r="243" spans="6:7" x14ac:dyDescent="0.15">
      <c r="F243" s="36"/>
      <c r="G243" s="36"/>
    </row>
    <row r="244" spans="4:4" x14ac:dyDescent="0.15">
      <c r="D244" s="36"/>
    </row>
    <row r="246" spans="4:7" x14ac:dyDescent="0.15">
      <c r="D246" s="36"/>
      <c r="G246" s="36"/>
    </row>
    <row r="247" spans="4:4" x14ac:dyDescent="0.15">
      <c r="D247" s="36"/>
    </row>
    <row r="260" spans="5:5" x14ac:dyDescent="0.15">
      <c r="E260" s="36"/>
    </row>
  </sheetData>
  <sheetProtection selectLockedCells="1" formatColumns="0" deleteColumns="0"/>
  <phoneticPr fontId="0" type="noConversion"/>
  <conditionalFormatting sqref="A2:A121">
    <cfRule type="duplicateValues" priority="3" dxfId="0"/>
  </conditionalFormatting>
  <conditionalFormatting sqref="E207">
    <cfRule type="duplicateValues" priority="2" dxfId="0"/>
  </conditionalFormatting>
  <conditionalFormatting sqref="A2:A151">
    <cfRule type="duplicateValues" priority="5" dxfId="0"/>
  </conditionalFormatting>
  <conditionalFormatting sqref="A153:A236">
    <cfRule type="duplicateValues" priority="4" dxfId="0"/>
  </conditionalFormatting>
  <conditionalFormatting sqref="A122:A236">
    <cfRule type="duplicateValues" priority="1" dxfId="0"/>
  </conditionalFormatting>
  <pageMargins left="0.6999125161508876" right="0.6999125161508876" top="0.7499062639521802" bottom="0.7499062639521802" header="0.2999625102741512" footer="0.2999625102741512"/>
  <pageSetup paperSize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  <pageSetUpPr fitToPage="1"/>
  </sheetPr>
  <dimension ref="A1:K30"/>
  <sheetViews>
    <sheetView showGridLines="0" zoomScale="90" zoomScaleNormal="90" topLeftCell="A1" workbookViewId="0">
      <selection activeCell="F5" activeCellId="0" sqref="F5"/>
    </sheetView>
  </sheetViews>
  <sheetFormatPr defaultRowHeight="18.75" customHeight="1" defaultColWidth="29.75" x14ac:dyDescent="0.15"/>
  <cols>
    <col min="1" max="1" width="29.875" customWidth="1" style="3"/>
    <col min="2" max="2" width="38.375" customWidth="1"/>
    <col min="3" max="4" width="29.875" customWidth="1" style="3"/>
    <col min="5" max="8" width="29.75"/>
  </cols>
  <sheetData>
    <row r="1" spans="1:11" ht="18.75" customHeight="1" x14ac:dyDescent="0.15">
      <c r="B1" s="162" t="s">
        <v>0</v>
      </c>
      <c r="C1" s="162"/>
      <c r="D1" s="162"/>
      <c r="E1" s="162"/>
      <c r="F1" s="161" t="s">
        <f>"Código: R-096-SI"&amp;CHAR(10)&amp;"Versión: 03"&amp;CHAR(10)&amp;"Fecha: "&amp;TEXT(TODAY(),"dd.mm.aa")&amp;CHAR(10)&amp;"Cód. DE Proced: M-04-SI"</f>
        <v>568</v>
      </c>
      <c r="G1" s="5"/>
      <c r="H1" s="5"/>
      <c r="I1" s="5"/>
      <c r="J1" s="5"/>
      <c r="K1" s="5"/>
    </row>
    <row r="2" spans="1:11" ht="18.75" customHeight="1" x14ac:dyDescent="0.15">
      <c r="B2" s="162"/>
      <c r="C2" s="162"/>
      <c r="D2" s="162"/>
      <c r="E2" s="162"/>
      <c r="F2" s="160"/>
      <c r="G2" s="5"/>
      <c r="H2" s="5"/>
      <c r="I2" s="5"/>
      <c r="J2" s="5"/>
      <c r="K2" s="5"/>
    </row>
    <row r="3" spans="1:11" ht="18.75" customHeight="1" x14ac:dyDescent="0.15">
      <c r="B3" s="162"/>
      <c r="C3" s="162"/>
      <c r="D3" s="162"/>
      <c r="E3" s="162"/>
      <c r="F3" s="160"/>
      <c r="G3" s="5"/>
      <c r="H3" s="5"/>
      <c r="I3" s="5"/>
      <c r="J3" s="5"/>
      <c r="K3" s="5"/>
    </row>
    <row r="4" spans="1:11" ht="18.75" customHeight="1" x14ac:dyDescent="0.15">
      <c r="B4" s="162"/>
      <c r="C4" s="162"/>
      <c r="D4" s="162"/>
      <c r="E4" s="162"/>
      <c r="F4" s="160"/>
      <c r="G4" s="5"/>
      <c r="H4" s="5"/>
      <c r="I4" s="5"/>
      <c r="J4" s="5"/>
      <c r="K4" s="5"/>
    </row>
    <row r="5" spans="1:11" ht="18.75" customHeight="1" x14ac:dyDescent="0.15">
      <c r="B5" s="162"/>
      <c r="C5" s="162"/>
      <c r="D5" s="162"/>
      <c r="E5" s="162"/>
      <c r="F5" s="53" t="s">
        <v>2</v>
      </c>
      <c r="G5" s="5"/>
      <c r="H5" s="5"/>
      <c r="I5" s="5"/>
      <c r="J5" s="5"/>
      <c r="K5" s="5"/>
    </row>
    <row r="6" spans="1:11" ht="18.75" customHeight="1" x14ac:dyDescent="0.15">
      <c r="F6" s="6"/>
      <c r="G6" s="5"/>
      <c r="H6" s="5"/>
      <c r="I6" s="5"/>
      <c r="J6" s="5"/>
      <c r="K6" s="5"/>
    </row>
    <row r="7" spans="1:11" ht="35.25" customHeight="1" x14ac:dyDescent="0.15">
      <c r="A7" s="175" t="s">
        <v>3</v>
      </c>
      <c r="B7" s="175"/>
      <c r="C7" s="166">
        <f>TODAY()</f>
        <v>46323</v>
      </c>
      <c r="D7" s="165"/>
      <c r="G7" s="5"/>
      <c r="H7" s="5"/>
      <c r="I7" s="5"/>
      <c r="J7" s="5"/>
      <c r="K7" s="5"/>
    </row>
    <row r="8" spans="1:11" ht="35.25" customHeight="1" x14ac:dyDescent="0.15">
      <c r="A8" s="175" t="s">
        <v>4</v>
      </c>
      <c r="B8" s="175"/>
      <c r="C8" s="165"/>
      <c r="D8" s="165"/>
      <c r="G8" s="5"/>
      <c r="H8" s="5"/>
      <c r="I8" s="5"/>
      <c r="J8" s="5"/>
      <c r="K8" s="5"/>
    </row>
    <row r="9" spans="1:11" ht="35.25" customHeight="1" x14ac:dyDescent="0.15">
      <c r="A9" s="175" t="s">
        <v>5</v>
      </c>
      <c r="B9" s="175"/>
      <c r="C9" s="167"/>
      <c r="D9" s="167"/>
      <c r="G9" s="5"/>
      <c r="H9" s="5"/>
      <c r="I9" s="5"/>
      <c r="J9" s="5"/>
      <c r="K9" s="5"/>
    </row>
    <row r="10" spans="1:11" ht="35.25" customHeight="1" x14ac:dyDescent="0.15">
      <c r="A10" s="175" t="s">
        <v>6</v>
      </c>
      <c r="B10" s="175"/>
      <c r="C10" s="165"/>
      <c r="D10" s="165"/>
      <c r="G10" s="5"/>
      <c r="H10" s="5"/>
      <c r="I10" s="5"/>
      <c r="J10" s="5"/>
      <c r="K10" s="5"/>
    </row>
    <row r="11" spans="1:11" ht="35.25" customHeight="1" x14ac:dyDescent="0.15">
      <c r="A11" s="175" t="s">
        <v>7</v>
      </c>
      <c r="B11" s="175"/>
      <c r="C11" s="166">
        <f>C7</f>
        <v>46323</v>
      </c>
      <c r="D11" s="165"/>
      <c r="G11" s="5"/>
      <c r="H11" s="5"/>
      <c r="I11" s="5"/>
      <c r="J11" s="5"/>
      <c r="K11" s="5"/>
    </row>
    <row r="12" spans="1:11" ht="35.25" customHeight="1" x14ac:dyDescent="0.15">
      <c r="A12" s="175" t="s">
        <v>8</v>
      </c>
      <c r="B12" s="175"/>
      <c r="C12" s="165" t="s">
        <v>9</v>
      </c>
      <c r="D12" s="165"/>
      <c r="G12" s="5"/>
      <c r="H12" s="5"/>
      <c r="I12" s="5"/>
      <c r="J12" s="5"/>
      <c r="K12" s="5"/>
    </row>
    <row r="13" spans="1:11" ht="35.25" customHeight="1" x14ac:dyDescent="0.15">
      <c r="A13" s="175" t="s">
        <v>10</v>
      </c>
      <c r="B13" s="175"/>
      <c r="C13" s="165"/>
      <c r="D13" s="165"/>
      <c r="G13" s="5"/>
      <c r="H13" s="5"/>
      <c r="I13" s="5"/>
      <c r="J13" s="5"/>
      <c r="K13" s="5"/>
    </row>
    <row r="14" spans="1:11" ht="20.25" customHeight="1" x14ac:dyDescent="0.15">
      <c r="A14" s="176"/>
      <c r="B14" s="176"/>
      <c r="G14" s="5"/>
      <c r="H14" s="5"/>
      <c r="I14" s="5"/>
      <c r="J14" s="5"/>
      <c r="K14" s="5"/>
    </row>
    <row r="15" spans="1:1" ht="20.25" customHeight="1" x14ac:dyDescent="0.15"/>
    <row r="16" spans="1:6" s="10" customFormat="1" ht="23.25" customHeight="1" x14ac:dyDescent="0.15">
      <c r="A16" s="164" t="s">
        <v>11</v>
      </c>
      <c r="B16" s="163"/>
      <c r="C16" s="171" t="s">
        <v>12</v>
      </c>
      <c r="D16" s="171"/>
      <c r="E16" s="171"/>
      <c r="F16" s="170"/>
    </row>
    <row r="17" spans="1:6" ht="36.0" customHeight="1" x14ac:dyDescent="0.15">
      <c r="A17" s="23" t="s">
        <v>13</v>
      </c>
      <c r="B17" s="22" t="s">
        <v>14</v>
      </c>
      <c r="C17" s="169"/>
      <c r="D17" s="169"/>
      <c r="E17" s="169"/>
      <c r="F17" s="168"/>
    </row>
    <row r="18" spans="1:7" ht="36.0" customHeight="1" x14ac:dyDescent="0.15">
      <c r="A18" s="11"/>
      <c r="B18" s="14"/>
      <c r="C18" s="151" t="s">
        <v>569</v>
      </c>
      <c r="D18" s="150"/>
      <c r="E18" s="150"/>
      <c r="F18" s="149"/>
      <c r="G18" s="28"/>
    </row>
    <row r="19" spans="1:7" ht="36.0" customHeight="1" x14ac:dyDescent="0.15">
      <c r="A19" s="12"/>
      <c r="B19" s="15"/>
      <c r="C19" s="154" t="s">
        <v>570</v>
      </c>
      <c r="D19" s="153"/>
      <c r="E19" s="153"/>
      <c r="F19" s="152"/>
      <c r="G19" s="28"/>
    </row>
    <row r="20" spans="1:6" ht="36.0" customHeight="1" x14ac:dyDescent="0.15">
      <c r="A20" s="12"/>
      <c r="B20" s="15"/>
      <c r="C20" s="156" t="s">
        <v>571</v>
      </c>
      <c r="D20" s="153"/>
      <c r="E20" s="153"/>
      <c r="F20" s="155"/>
    </row>
    <row r="21" spans="1:7" ht="36.0" customHeight="1" x14ac:dyDescent="0.15">
      <c r="A21" s="12"/>
      <c r="B21" s="15"/>
      <c r="C21" s="159" t="s">
        <v>572</v>
      </c>
      <c r="D21" s="158"/>
      <c r="E21" s="158"/>
      <c r="F21" s="157"/>
      <c r="G21" s="28"/>
    </row>
    <row r="22" spans="1:6" ht="36.0" customHeight="1" x14ac:dyDescent="0.15">
      <c r="A22" s="13"/>
      <c r="B22" s="27"/>
      <c r="C22" s="159" t="s">
        <v>573</v>
      </c>
      <c r="D22" s="158"/>
      <c r="E22" s="158"/>
      <c r="F22" s="157"/>
    </row>
    <row r="23" spans="1:6" ht="36.0" customHeight="1" x14ac:dyDescent="0.15">
      <c r="A23" s="13"/>
      <c r="B23" s="27"/>
      <c r="C23" s="156" t="s">
        <v>574</v>
      </c>
      <c r="D23" s="153"/>
      <c r="E23" s="153"/>
      <c r="F23" s="155"/>
    </row>
    <row r="24" spans="1:6" ht="36.0" customHeight="1" x14ac:dyDescent="0.15">
      <c r="A24" s="13"/>
      <c r="B24" s="27"/>
      <c r="C24" s="159" t="s">
        <v>575</v>
      </c>
      <c r="D24" s="158"/>
      <c r="E24" s="158"/>
      <c r="F24" s="157"/>
    </row>
    <row r="25" spans="1:6" ht="36.0" customHeight="1" x14ac:dyDescent="0.15">
      <c r="A25" s="13"/>
      <c r="B25" s="27"/>
      <c r="C25" s="179" t="s">
        <v>576</v>
      </c>
      <c r="D25" s="178"/>
      <c r="E25" s="178"/>
      <c r="F25" s="177"/>
    </row>
    <row r="26" spans="1:6" ht="36.0" customHeight="1" x14ac:dyDescent="0.15">
      <c r="A26" s="13"/>
      <c r="B26" s="27"/>
      <c r="C26" s="156" t="s">
        <v>577</v>
      </c>
      <c r="D26" s="153"/>
      <c r="E26" s="153"/>
      <c r="F26" s="155"/>
    </row>
    <row r="27" spans="1:6" ht="36.0" customHeight="1" x14ac:dyDescent="0.15">
      <c r="A27" s="13"/>
      <c r="B27" s="27"/>
      <c r="C27" s="159" t="s">
        <v>578</v>
      </c>
      <c r="D27" s="158"/>
      <c r="E27" s="158"/>
      <c r="F27" s="157"/>
    </row>
    <row r="28" spans="1:6" ht="36.0" customHeight="1" x14ac:dyDescent="0.15">
      <c r="A28" s="13"/>
      <c r="B28" s="27"/>
      <c r="C28" s="174" t="s">
        <v>579</v>
      </c>
      <c r="D28" s="173"/>
      <c r="E28" s="173"/>
      <c r="F28" s="172"/>
    </row>
    <row r="29" spans="1:7" ht="36.0" customHeight="1" x14ac:dyDescent="0.15">
      <c r="A29" s="13"/>
      <c r="B29" s="27"/>
      <c r="C29" s="159" t="s">
        <v>580</v>
      </c>
      <c r="D29" s="158"/>
      <c r="E29" s="158"/>
      <c r="F29" s="157"/>
      <c r="G29" s="28"/>
    </row>
    <row r="30" spans="1:5" ht="18.75" customHeight="1" x14ac:dyDescent="0.15">
      <c r="A30" s="2"/>
      <c r="B30" s="2"/>
      <c r="C30" s="2"/>
      <c r="D30" s="2"/>
      <c r="E30" s="4"/>
    </row>
  </sheetData>
  <sheetProtection formatCells="0" formatColumns="0" formatRows="0" insertColumns="0" insertRows="0" insertHyperlinks="0"/>
  <mergeCells count="31">
    <mergeCell ref="C25:F25"/>
    <mergeCell ref="C26:F26"/>
    <mergeCell ref="C27:F27"/>
    <mergeCell ref="C28:F28"/>
    <mergeCell ref="C29:F29"/>
    <mergeCell ref="C23:F23"/>
    <mergeCell ref="C24:F24"/>
    <mergeCell ref="A13:B13"/>
    <mergeCell ref="C13:D13"/>
    <mergeCell ref="A14:B14"/>
    <mergeCell ref="A16:B16"/>
    <mergeCell ref="C16:F17"/>
    <mergeCell ref="C18:F18"/>
    <mergeCell ref="C19:F19"/>
    <mergeCell ref="C20:F20"/>
    <mergeCell ref="C21:F21"/>
    <mergeCell ref="C22:F22"/>
    <mergeCell ref="A12:B12"/>
    <mergeCell ref="C12:D12"/>
    <mergeCell ref="B1:E5"/>
    <mergeCell ref="F1:F4"/>
    <mergeCell ref="A7:B7"/>
    <mergeCell ref="C7:D7"/>
    <mergeCell ref="A8:B8"/>
    <mergeCell ref="C8:D8"/>
    <mergeCell ref="A9:B9"/>
    <mergeCell ref="A10:B10"/>
    <mergeCell ref="C10:D10"/>
    <mergeCell ref="A11:B11"/>
    <mergeCell ref="C11:D11"/>
    <mergeCell ref="C9:D9"/>
  </mergeCells>
  <phoneticPr fontId="0" type="noConversion"/>
  <printOptions horizontalCentered="1"/>
  <pageMargins left="0.31523838287263406" right="0.31523838287263406" top="0.3541223880812878" bottom="0.3541223880812878" header="0.31523838287263406" footer="0.31523838287263406"/>
  <pageSetup paperSize="1" scale="62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  <pageSetUpPr fitToPage="1"/>
  </sheetPr>
  <dimension ref="A1:K30"/>
  <sheetViews>
    <sheetView showGridLines="0" zoomScale="90" zoomScaleNormal="90" topLeftCell="A1" workbookViewId="0">
      <selection activeCell="F1" activeCellId="0" sqref="F1:F4"/>
    </sheetView>
  </sheetViews>
  <sheetFormatPr defaultRowHeight="18.75" customHeight="1" defaultColWidth="29.75" x14ac:dyDescent="0.15"/>
  <cols>
    <col min="1" max="1" width="29.875" customWidth="1" style="3"/>
    <col min="2" max="2" width="38.375" customWidth="1"/>
    <col min="3" max="4" width="29.875" customWidth="1" style="3"/>
    <col min="5" max="8" width="29.75"/>
  </cols>
  <sheetData>
    <row r="1" spans="1:11" ht="18.75" customHeight="1" x14ac:dyDescent="0.15">
      <c r="B1" s="162" t="s">
        <v>0</v>
      </c>
      <c r="C1" s="162"/>
      <c r="D1" s="162"/>
      <c r="E1" s="162"/>
      <c r="F1" s="161" t="s">
        <f>"Código: R-096-SI"&amp;CHAR(10)&amp;"Versión: 03"&amp;CHAR(10)&amp;"Fecha: "&amp;TEXT(TODAY(),"dd.mm.aa")&amp;CHAR(10)&amp;"Cód. DE Proced: M-04-SI"</f>
        <v>568</v>
      </c>
      <c r="G1" s="5"/>
      <c r="H1" s="5"/>
      <c r="I1" s="5"/>
      <c r="J1" s="5"/>
      <c r="K1" s="5"/>
    </row>
    <row r="2" spans="1:11" ht="18.75" customHeight="1" x14ac:dyDescent="0.15">
      <c r="B2" s="162"/>
      <c r="C2" s="162"/>
      <c r="D2" s="162"/>
      <c r="E2" s="162"/>
      <c r="F2" s="160"/>
      <c r="G2" s="5"/>
      <c r="H2" s="5"/>
      <c r="I2" s="5"/>
      <c r="J2" s="5"/>
      <c r="K2" s="5"/>
    </row>
    <row r="3" spans="1:11" ht="18.75" customHeight="1" x14ac:dyDescent="0.15">
      <c r="B3" s="162"/>
      <c r="C3" s="162"/>
      <c r="D3" s="162"/>
      <c r="E3" s="162"/>
      <c r="F3" s="160"/>
      <c r="G3" s="5"/>
      <c r="H3" s="5"/>
      <c r="I3" s="5"/>
      <c r="J3" s="5"/>
      <c r="K3" s="5"/>
    </row>
    <row r="4" spans="1:11" ht="18.75" customHeight="1" x14ac:dyDescent="0.15">
      <c r="B4" s="162"/>
      <c r="C4" s="162"/>
      <c r="D4" s="162"/>
      <c r="E4" s="162"/>
      <c r="F4" s="160"/>
      <c r="G4" s="5"/>
      <c r="H4" s="5"/>
      <c r="I4" s="5"/>
      <c r="J4" s="5"/>
      <c r="K4" s="5"/>
    </row>
    <row r="5" spans="1:11" ht="18.75" customHeight="1" x14ac:dyDescent="0.15">
      <c r="B5" s="162"/>
      <c r="C5" s="162"/>
      <c r="D5" s="162"/>
      <c r="E5" s="162"/>
      <c r="F5" s="6" t="s">
        <v>2</v>
      </c>
      <c r="G5" s="5"/>
      <c r="H5" s="5"/>
      <c r="I5" s="5"/>
      <c r="J5" s="5"/>
      <c r="K5" s="5"/>
    </row>
    <row r="6" spans="1:11" ht="18.75" customHeight="1" x14ac:dyDescent="0.15">
      <c r="F6" s="6"/>
      <c r="G6" s="5"/>
      <c r="H6" s="5"/>
      <c r="I6" s="5"/>
      <c r="J6" s="5"/>
      <c r="K6" s="5"/>
    </row>
    <row r="7" spans="1:11" ht="35.25" customHeight="1" x14ac:dyDescent="0.15">
      <c r="A7" s="175" t="s">
        <v>3</v>
      </c>
      <c r="B7" s="175"/>
      <c r="C7" s="166">
        <f>TODAY()</f>
        <v>46323</v>
      </c>
      <c r="D7" s="165"/>
      <c r="G7" s="5"/>
      <c r="H7" s="29"/>
      <c r="I7" s="5"/>
      <c r="J7" s="5"/>
      <c r="K7" s="5"/>
    </row>
    <row r="8" spans="1:11" ht="35.25" customHeight="1" x14ac:dyDescent="0.15">
      <c r="A8" s="175" t="s">
        <v>4</v>
      </c>
      <c r="B8" s="175"/>
      <c r="C8" s="193"/>
      <c r="D8" s="193"/>
      <c r="G8" s="5"/>
      <c r="H8" s="5"/>
      <c r="I8" s="5"/>
      <c r="J8" s="5"/>
      <c r="K8" s="5"/>
    </row>
    <row r="9" spans="1:11" ht="35.25" customHeight="1" x14ac:dyDescent="0.15">
      <c r="A9" s="175" t="s">
        <v>5</v>
      </c>
      <c r="B9" s="175"/>
      <c r="C9" s="26"/>
      <c r="D9" s="26"/>
      <c r="G9" s="5"/>
      <c r="H9" s="5"/>
      <c r="I9" s="5"/>
      <c r="J9" s="5"/>
      <c r="K9" s="5"/>
    </row>
    <row r="10" spans="1:11" ht="35.25" customHeight="1" x14ac:dyDescent="0.15">
      <c r="A10" s="175" t="s">
        <v>6</v>
      </c>
      <c r="B10" s="175"/>
      <c r="C10" s="192"/>
      <c r="D10" s="192"/>
      <c r="G10" s="5"/>
      <c r="H10" s="5"/>
      <c r="I10" s="5"/>
      <c r="J10" s="5"/>
      <c r="K10" s="5"/>
    </row>
    <row r="11" spans="1:11" ht="35.25" customHeight="1" x14ac:dyDescent="0.15">
      <c r="A11" s="175" t="s">
        <v>7</v>
      </c>
      <c r="B11" s="175"/>
      <c r="C11" s="166">
        <f>C7</f>
        <v>46323</v>
      </c>
      <c r="D11" s="165"/>
      <c r="G11" s="5"/>
      <c r="H11" s="5"/>
      <c r="I11" s="5"/>
      <c r="J11" s="5"/>
      <c r="K11" s="5"/>
    </row>
    <row r="12" spans="1:11" ht="35.25" customHeight="1" x14ac:dyDescent="0.15">
      <c r="A12" s="175" t="s">
        <v>8</v>
      </c>
      <c r="B12" s="175"/>
      <c r="C12" s="165" t="s">
        <v>9</v>
      </c>
      <c r="D12" s="165"/>
      <c r="G12" s="5"/>
      <c r="H12" s="5"/>
      <c r="I12" s="5"/>
      <c r="J12" s="5"/>
      <c r="K12" s="5"/>
    </row>
    <row r="13" spans="1:11" ht="35.25" customHeight="1" x14ac:dyDescent="0.15">
      <c r="A13" s="175" t="s">
        <v>10</v>
      </c>
      <c r="B13" s="175"/>
      <c r="C13" s="192"/>
      <c r="D13" s="192"/>
      <c r="G13" s="5"/>
      <c r="H13" s="5"/>
      <c r="I13" s="5"/>
      <c r="J13" s="5"/>
      <c r="K13" s="5"/>
    </row>
    <row r="14" spans="1:11" ht="20.25" customHeight="1" x14ac:dyDescent="0.15">
      <c r="A14" s="176"/>
      <c r="B14" s="176"/>
      <c r="G14" s="5"/>
      <c r="H14" s="5"/>
      <c r="I14" s="5"/>
      <c r="J14" s="5"/>
      <c r="K14" s="5"/>
    </row>
    <row r="15" spans="1:1" ht="20.25" customHeight="1" x14ac:dyDescent="0.15"/>
    <row r="16" spans="1:6" s="10" customFormat="1" ht="23.25" customHeight="1" x14ac:dyDescent="0.15">
      <c r="A16" s="164" t="s">
        <v>11</v>
      </c>
      <c r="B16" s="163"/>
      <c r="C16" s="171" t="s">
        <v>12</v>
      </c>
      <c r="D16" s="171"/>
      <c r="E16" s="171"/>
      <c r="F16" s="170"/>
    </row>
    <row r="17" spans="1:6" ht="36.0" customHeight="1" x14ac:dyDescent="0.15">
      <c r="A17" s="23" t="s">
        <v>13</v>
      </c>
      <c r="B17" s="22" t="s">
        <v>14</v>
      </c>
      <c r="C17" s="169"/>
      <c r="D17" s="169"/>
      <c r="E17" s="169"/>
      <c r="F17" s="168"/>
    </row>
    <row r="18" spans="1:7" ht="36.0" customHeight="1" x14ac:dyDescent="0.15">
      <c r="A18" s="11"/>
      <c r="B18" s="14"/>
      <c r="C18" s="151" t="s">
        <v>581</v>
      </c>
      <c r="D18" s="150"/>
      <c r="E18" s="150"/>
      <c r="F18" s="149"/>
      <c r="G18" s="28"/>
    </row>
    <row r="19" spans="1:7" ht="36.0" customHeight="1" x14ac:dyDescent="0.15">
      <c r="A19" s="12"/>
      <c r="B19" s="15"/>
      <c r="C19" s="154" t="s">
        <v>582</v>
      </c>
      <c r="D19" s="153"/>
      <c r="E19" s="153"/>
      <c r="F19" s="152"/>
      <c r="G19" s="28"/>
    </row>
    <row r="20" spans="1:6" ht="36.0" customHeight="1" x14ac:dyDescent="0.15">
      <c r="A20" s="12"/>
      <c r="B20" s="15"/>
      <c r="C20" s="156" t="s">
        <v>583</v>
      </c>
      <c r="D20" s="153"/>
      <c r="E20" s="153"/>
      <c r="F20" s="155"/>
    </row>
    <row r="21" spans="1:7" ht="36.0" customHeight="1" x14ac:dyDescent="0.15">
      <c r="A21" s="12"/>
      <c r="B21" s="15"/>
      <c r="C21" s="159" t="s">
        <v>584</v>
      </c>
      <c r="D21" s="158"/>
      <c r="E21" s="158"/>
      <c r="F21" s="157"/>
      <c r="G21" s="28"/>
    </row>
    <row r="22" spans="1:6" ht="36.0" customHeight="1" x14ac:dyDescent="0.15">
      <c r="A22" s="13"/>
      <c r="B22" s="27"/>
      <c r="C22" s="159" t="s">
        <v>585</v>
      </c>
      <c r="D22" s="158"/>
      <c r="E22" s="158"/>
      <c r="F22" s="157"/>
    </row>
    <row r="23" spans="1:6" ht="36.0" customHeight="1" x14ac:dyDescent="0.15">
      <c r="A23" s="13"/>
      <c r="B23" s="27"/>
      <c r="C23" s="156" t="s">
        <v>586</v>
      </c>
      <c r="D23" s="153"/>
      <c r="E23" s="153"/>
      <c r="F23" s="155"/>
    </row>
    <row r="24" spans="1:8" ht="36.0" customHeight="1" x14ac:dyDescent="0.15">
      <c r="A24" s="13"/>
      <c r="B24" s="27"/>
      <c r="C24" s="159" t="s">
        <v>587</v>
      </c>
      <c r="D24" s="158"/>
      <c r="E24" s="158"/>
      <c r="F24" s="157"/>
      <c r="H24" s="36"/>
    </row>
    <row r="25" spans="1:6" ht="36.0" customHeight="1" x14ac:dyDescent="0.15">
      <c r="A25" s="13"/>
      <c r="B25" s="27"/>
      <c r="C25" s="179" t="s">
        <v>588</v>
      </c>
      <c r="D25" s="178"/>
      <c r="E25" s="178"/>
      <c r="F25" s="177"/>
    </row>
    <row r="26" spans="1:6" ht="36.0" customHeight="1" x14ac:dyDescent="0.15">
      <c r="A26" s="13"/>
      <c r="B26" s="27"/>
      <c r="C26" s="156" t="s">
        <v>589</v>
      </c>
      <c r="D26" s="153"/>
      <c r="E26" s="153"/>
      <c r="F26" s="155"/>
    </row>
    <row r="27" spans="1:6" ht="36.0" customHeight="1" x14ac:dyDescent="0.15">
      <c r="A27" s="13"/>
      <c r="B27" s="27"/>
      <c r="C27" s="159" t="s">
        <v>590</v>
      </c>
      <c r="D27" s="158"/>
      <c r="E27" s="158"/>
      <c r="F27" s="157"/>
    </row>
    <row r="28" spans="1:6" ht="36.0" customHeight="1" x14ac:dyDescent="0.15">
      <c r="A28" s="13"/>
      <c r="B28" s="27"/>
      <c r="C28" s="174" t="s">
        <v>591</v>
      </c>
      <c r="D28" s="173"/>
      <c r="E28" s="173"/>
      <c r="F28" s="172"/>
    </row>
    <row r="29" spans="1:7" ht="36.0" customHeight="1" x14ac:dyDescent="0.15">
      <c r="A29" s="13"/>
      <c r="B29" s="27"/>
      <c r="C29" s="159" t="s">
        <v>592</v>
      </c>
      <c r="D29" s="158"/>
      <c r="E29" s="158"/>
      <c r="F29" s="157"/>
      <c r="G29" s="28"/>
    </row>
    <row r="30" spans="1:5" ht="18.75" customHeight="1" x14ac:dyDescent="0.15">
      <c r="A30" s="2"/>
      <c r="B30" s="2"/>
      <c r="C30" s="2"/>
      <c r="D30" s="2"/>
      <c r="E30" s="4"/>
    </row>
  </sheetData>
  <sheetProtection formatCells="0" formatColumns="0" formatRows="0" insertColumns="0" insertRows="0" insertHyperlinks="0"/>
  <mergeCells count="30">
    <mergeCell ref="C25:F25"/>
    <mergeCell ref="C26:F26"/>
    <mergeCell ref="C27:F27"/>
    <mergeCell ref="C28:F28"/>
    <mergeCell ref="C29:F29"/>
    <mergeCell ref="C24:F24"/>
    <mergeCell ref="A13:B13"/>
    <mergeCell ref="C13:D13"/>
    <mergeCell ref="A14:B14"/>
    <mergeCell ref="A16:B16"/>
    <mergeCell ref="C16:F17"/>
    <mergeCell ref="C18:F18"/>
    <mergeCell ref="C19:F19"/>
    <mergeCell ref="C20:F20"/>
    <mergeCell ref="C21:F21"/>
    <mergeCell ref="C22:F22"/>
    <mergeCell ref="C23:F23"/>
    <mergeCell ref="A12:B12"/>
    <mergeCell ref="C12:D12"/>
    <mergeCell ref="B1:E5"/>
    <mergeCell ref="F1:F4"/>
    <mergeCell ref="A7:B7"/>
    <mergeCell ref="C7:D7"/>
    <mergeCell ref="A8:B8"/>
    <mergeCell ref="C8:D8"/>
    <mergeCell ref="A9:B9"/>
    <mergeCell ref="A10:B10"/>
    <mergeCell ref="C10:D10"/>
    <mergeCell ref="A11:B11"/>
    <mergeCell ref="C11:D11"/>
  </mergeCells>
  <phoneticPr fontId="0" type="noConversion"/>
  <printOptions horizontalCentered="1"/>
  <pageMargins left="0.31523838287263406" right="0.31523838287263406" top="0.3541223880812878" bottom="0.3541223880812878" header="0.31523838287263406" footer="0.31523838287263406"/>
  <pageSetup paperSize="1" scale="62" orientation="landscape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Honor_Office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sistemas  GP2</dc:creator>
  <cp:lastModifiedBy>HONOR Docs</cp:lastModifiedBy>
  <cp:revision>0</cp:revision>
  <cp:lastPrinted>2026-06-19T14:44:35Z</cp:lastPrinted>
  <dcterms:created xsi:type="dcterms:W3CDTF">2014-06-10T12:57:49Z</dcterms:created>
  <dcterms:modified xsi:type="dcterms:W3CDTF">2026-10-28T14:03:06Z</dcterms:modified>
</cp:coreProperties>
</file>